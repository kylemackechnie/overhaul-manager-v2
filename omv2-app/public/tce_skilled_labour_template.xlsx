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z0040ups\Downloads\"/>
    </mc:Choice>
  </mc:AlternateContent>
  <xr:revisionPtr revIDLastSave="0" documentId="13_ncr:1_{236B46B4-E8A7-44DA-8F54-5E68364B6E52}" xr6:coauthVersionLast="47" xr6:coauthVersionMax="47" xr10:uidLastSave="{00000000-0000-0000-0000-000000000000}"/>
  <bookViews>
    <workbookView xWindow="-105" yWindow="0" windowWidth="19410" windowHeight="15585" xr2:uid="{3C3FD6A1-F343-49B1-8B4B-765963625F45}"/>
  </bookViews>
  <sheets>
    <sheet name="Skilled Labour" sheetId="1" r:id="rId1"/>
  </sheets>
  <definedNames>
    <definedName name="_AUA1">#REF!</definedName>
    <definedName name="_BUT1">"General_1"</definedName>
    <definedName name="_c" localSheetId="0" hidden="1">1/EUReXToPTE</definedName>
    <definedName name="_c" hidden="1">1/EUReXToPTE</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0" hidden="1">'Skilled Labour'!$A$1:$AW$335</definedName>
    <definedName name="_Key1" hidden="1">#REF!</definedName>
    <definedName name="_Key2" hidden="1">#REF!</definedName>
    <definedName name="_Key8" hidden="1">#REF!</definedName>
    <definedName name="_Order1" hidden="1">255</definedName>
    <definedName name="_Order2" hidden="1">255</definedName>
    <definedName name="_r" localSheetId="0" hidden="1">1/EUReXToESP</definedName>
    <definedName name="_r" hidden="1">1/EUReXToESP</definedName>
    <definedName name="_Sort" hidden="1">#REF!</definedName>
    <definedName name="_Sym1">TRUE</definedName>
    <definedName name="_Sym10">FALSE</definedName>
    <definedName name="_Sym11">FALSE</definedName>
    <definedName name="_Sym12">FALSE</definedName>
    <definedName name="_Sym13">FALSE</definedName>
    <definedName name="_Sym2">TRUE</definedName>
    <definedName name="_Sym3">FALSE</definedName>
    <definedName name="_Sym4">FALSE</definedName>
    <definedName name="_Sym5">FALSE</definedName>
    <definedName name="_Sym6">FALSE</definedName>
    <definedName name="_Sym7">FALSE</definedName>
    <definedName name="_Sym8">FALSE</definedName>
    <definedName name="_Sym9">FALSE</definedName>
    <definedName name="A">#REF!</definedName>
    <definedName name="aa" localSheetId="0" hidden="1">1/EUReXToIEP</definedName>
    <definedName name="aa" hidden="1">1/EUReXToIEP</definedName>
    <definedName name="ACC">#REF!</definedName>
    <definedName name="Accom_Cost_AUD">#REF!</definedName>
    <definedName name="Accom_Cost_AUD1">#REF!</definedName>
    <definedName name="ACCTOP">#REF!</definedName>
    <definedName name="alternative1_header">#REF!</definedName>
    <definedName name="anscount" hidden="1">1</definedName>
    <definedName name="Anzahl_units">#REF!</definedName>
    <definedName name="AP">#REF!</definedName>
    <definedName name="april">#REF!</definedName>
    <definedName name="ATSeXToEUR" localSheetId="0" hidden="1">1/EUReXToATS</definedName>
    <definedName name="ATSeXToEUR" hidden="1">1/EUReXToATS</definedName>
    <definedName name="august">#REF!,#REF!,#REF!</definedName>
    <definedName name="average2002ist">#REF!</definedName>
    <definedName name="average2003plan">#REF!</definedName>
    <definedName name="average2005cf">#REF!</definedName>
    <definedName name="average2006cf">#REF!</definedName>
    <definedName name="b" hidden="1">#REF!</definedName>
    <definedName name="B_Basis" localSheetId="0">"["&amp;Basis_Datei&amp;"]Passwort!"</definedName>
    <definedName name="B_Basis">"["&amp;Basis_Datei&amp;"]Passwort!"</definedName>
    <definedName name="B_Blank" localSheetId="0">"["&amp;Basis_Datei&amp;"]Blank!"</definedName>
    <definedName name="B_Blank">"["&amp;Basis_Datei&amp;"]Blank!"</definedName>
    <definedName name="B_Einstellg" localSheetId="0">"["&amp;Basis_Datei&amp;"]Voreinstell!"</definedName>
    <definedName name="B_Einstellg">"["&amp;Basis_Datei&amp;"]Voreinstell!"</definedName>
    <definedName name="B_StdSatz" localSheetId="0">"["&amp;Basis_Datei&amp;"]Voreinstell!"</definedName>
    <definedName name="B_StdSatz">"["&amp;Basis_Datei&amp;"]Voreinstell!"</definedName>
    <definedName name="B_SV" localSheetId="0">"["&amp;Basis_Datei&amp;"]Kabel_Trassen!"</definedName>
    <definedName name="B_SV">"["&amp;Basis_Datei&amp;"]Kabel_Trassen!"</definedName>
    <definedName name="B_SV24" localSheetId="0">"["&amp;Basis_Datei&amp;"]Kabel_Trassen!"</definedName>
    <definedName name="B_SV24">"["&amp;Basis_Datei&amp;"]Kabel_Trassen!"</definedName>
    <definedName name="B_Trasse" localSheetId="0">"["&amp;Basis_Datei&amp;"]Kabel_Trassen!"</definedName>
    <definedName name="B_Trasse">"["&amp;Basis_Datei&amp;"]Kabel_Trassen!"</definedName>
    <definedName name="B_USV" localSheetId="0">"["&amp;Basis_Datei&amp;"]Kabel_Trassen!"</definedName>
    <definedName name="B_USV">"["&amp;Basis_Datei&amp;"]Kabel_Trassen!"</definedName>
    <definedName name="Basis_Datei">"BasisM_V.xla"</definedName>
    <definedName name="Baukasse">#REF!</definedName>
    <definedName name="bb" localSheetId="0" hidden="1">1/EUReXToFIM</definedName>
    <definedName name="bb" hidden="1">1/EUReXToFIM</definedName>
    <definedName name="BEARBEITER">#REF!</definedName>
    <definedName name="BEFeXToEUR" localSheetId="0" hidden="1">1/EUReXToBEF</definedName>
    <definedName name="BEFeXToEUR" hidden="1">1/EUReXToBEF</definedName>
    <definedName name="Betriebsstätte">#REF!</definedName>
    <definedName name="BlockEigenbedarfstransformatoren">#REF!</definedName>
    <definedName name="BLRMECH">#REF!</definedName>
    <definedName name="BN_Habu_KP">#REF!</definedName>
    <definedName name="BN_Habu_SP">#REF!</definedName>
    <definedName name="BN_Keyphasor2_KP">#REF!</definedName>
    <definedName name="BN_Keyphasor2_SP">#REF!</definedName>
    <definedName name="BN_KonfigSW_KP">#REF!</definedName>
    <definedName name="BN_KonfigSW_SP">#REF!</definedName>
    <definedName name="BN_MON_KP">#REF!</definedName>
    <definedName name="BN_MON_SP">#REF!</definedName>
    <definedName name="BN_MON4_20_KP">#REF!</definedName>
    <definedName name="BN_MON4_20_SP">#REF!</definedName>
    <definedName name="BN_MONPos_KP">#REF!</definedName>
    <definedName name="BN_MONPos_SP">#REF!</definedName>
    <definedName name="BN_MONTemp6_KP">#REF!</definedName>
    <definedName name="BN_MONTemp6_SP">#REF!</definedName>
    <definedName name="BN_PS1_KP">#REF!</definedName>
    <definedName name="BN_PS1_SP">#REF!</definedName>
    <definedName name="BN_PS2_KP">#REF!</definedName>
    <definedName name="BN_PS2_SP">#REF!</definedName>
    <definedName name="BN_Rack_KP">#REF!</definedName>
    <definedName name="BN_Rack_SP">#REF!</definedName>
    <definedName name="BN_Relais16_KP">#REF!</definedName>
    <definedName name="BN_Relais16_SP">#REF!</definedName>
    <definedName name="BN_Relais4_KP">#REF!</definedName>
    <definedName name="BN_Relais4_SP">#REF!</definedName>
    <definedName name="BN_RIM_KP">#REF!</definedName>
    <definedName name="BN_RIM_SP">#REF!</definedName>
    <definedName name="BN_RS485_KP">#REF!</definedName>
    <definedName name="BN_RS485_SP">#REF!</definedName>
    <definedName name="BN_TDI_KP">#REF!</definedName>
    <definedName name="BN_TDI_SP">#REF!</definedName>
    <definedName name="Bochert">#REF!</definedName>
    <definedName name="bonuswert04">#REF!</definedName>
    <definedName name="Boolean">#REF!</definedName>
    <definedName name="C.A01">#REF!</definedName>
    <definedName name="C.A02">#REF!</definedName>
    <definedName name="C.A03">#REF!</definedName>
    <definedName name="C.A04">#REF!</definedName>
    <definedName name="C.A05">#REF!</definedName>
    <definedName name="C.A06">#REF!</definedName>
    <definedName name="C.A07">#REF!</definedName>
    <definedName name="C.A08">#REF!</definedName>
    <definedName name="C.A09">#REF!</definedName>
    <definedName name="C.A10">#REF!</definedName>
    <definedName name="C.Caution02">#REF!</definedName>
    <definedName name="C.Caution03">#REF!</definedName>
    <definedName name="C.Caution04">#REF!</definedName>
    <definedName name="C.Caution05">#REF!</definedName>
    <definedName name="C.Caution06">#REF!</definedName>
    <definedName name="C.Caution07">#REF!</definedName>
    <definedName name="C.Caution08">#REF!</definedName>
    <definedName name="C.Caution09">#REF!</definedName>
    <definedName name="C.Caution10">#REF!</definedName>
    <definedName name="C.Caution11">#REF!</definedName>
    <definedName name="C.Caution12">#REF!</definedName>
    <definedName name="C.CCO">#REF!</definedName>
    <definedName name="C.CF">#REF!</definedName>
    <definedName name="C.CO">#REF!</definedName>
    <definedName name="C.ERR">#REF!</definedName>
    <definedName name="C.I">#REF!</definedName>
    <definedName name="C.I01">#REF!</definedName>
    <definedName name="C.I02">#REF!</definedName>
    <definedName name="C.I03">#REF!</definedName>
    <definedName name="C.I04">#REF!</definedName>
    <definedName name="C.I05">#REF!</definedName>
    <definedName name="C.I06">#REF!</definedName>
    <definedName name="C.I07">#REF!</definedName>
    <definedName name="C.I08">#REF!</definedName>
    <definedName name="C.I08a">#REF!</definedName>
    <definedName name="C.M01">#REF!</definedName>
    <definedName name="C.SF">#REF!</definedName>
    <definedName name="C.SIMF">#REF!</definedName>
    <definedName name="C.SIMNF">#REF!</definedName>
    <definedName name="C.VF">#REF!</definedName>
    <definedName name="category">#REF!</definedName>
    <definedName name="CATS.Project" hidden="1">"D5085B"</definedName>
    <definedName name="cc" localSheetId="0" hidden="1">1/EUReXToDEM</definedName>
    <definedName name="cc" hidden="1">1/EUReXToDEM</definedName>
    <definedName name="changeType">#REF!</definedName>
    <definedName name="Checkcur">#REF!</definedName>
    <definedName name="Checkdate">#REF!</definedName>
    <definedName name="claimStatus">#REF!</definedName>
    <definedName name="classification">#REF!</definedName>
    <definedName name="CODE">#REF!</definedName>
    <definedName name="company">#REF!</definedName>
    <definedName name="CON">#REF!</definedName>
    <definedName name="contract_case">#REF!</definedName>
    <definedName name="contract_cases">#REF!</definedName>
    <definedName name="costcentre">#REF!</definedName>
    <definedName name="CU_ES">#REF!</definedName>
    <definedName name="CUSTPRICE">#REF!</definedName>
    <definedName name="D.1">#REF!</definedName>
    <definedName name="D.AF">#REF!</definedName>
    <definedName name="D.AFD">#REF!</definedName>
    <definedName name="D.AT">#REF!</definedName>
    <definedName name="D.ATA">#REF!</definedName>
    <definedName name="D.ATAD">#REF!</definedName>
    <definedName name="D.ATB">#REF!</definedName>
    <definedName name="D.ATBD">#REF!</definedName>
    <definedName name="D.ATC">#REF!</definedName>
    <definedName name="D.ATCD">#REF!</definedName>
    <definedName name="D.ATP">#REF!</definedName>
    <definedName name="D.ATP1">#REF!</definedName>
    <definedName name="D.ATPLN">#REF!</definedName>
    <definedName name="D.ATPLN1">#REF!</definedName>
    <definedName name="D.AUP">#REF!</definedName>
    <definedName name="D.AUPLN">#REF!</definedName>
    <definedName name="D.C">#REF!</definedName>
    <definedName name="D.CD">#REF!</definedName>
    <definedName name="D.CDT">#REF!</definedName>
    <definedName name="D.CO">#REF!</definedName>
    <definedName name="D.CTP">#REF!</definedName>
    <definedName name="D.CTPLN">#REF!</definedName>
    <definedName name="D.CTPSC">#REF!</definedName>
    <definedName name="D.CUP">#REF!</definedName>
    <definedName name="D.CUPLN">#REF!</definedName>
    <definedName name="D.FC">#REF!</definedName>
    <definedName name="D.FCT">#REF!</definedName>
    <definedName name="D.FP">#REF!</definedName>
    <definedName name="D.FPT">#REF!</definedName>
    <definedName name="D.JC1">#REF!</definedName>
    <definedName name="D.O1">#REF!</definedName>
    <definedName name="D.O10">#REF!</definedName>
    <definedName name="D.O10H">#REF!</definedName>
    <definedName name="D.O10S">#REF!</definedName>
    <definedName name="D.O1H">#REF!</definedName>
    <definedName name="D.O1S">#REF!</definedName>
    <definedName name="D.O2">#REF!</definedName>
    <definedName name="D.O2H">#REF!</definedName>
    <definedName name="D.O2S">#REF!</definedName>
    <definedName name="D.O3">#REF!</definedName>
    <definedName name="D.O3H">#REF!</definedName>
    <definedName name="D.O3S">#REF!</definedName>
    <definedName name="D.O4">#REF!</definedName>
    <definedName name="D.O4H">#REF!</definedName>
    <definedName name="D.O4S">#REF!</definedName>
    <definedName name="D.O5">#REF!</definedName>
    <definedName name="D.O5H">#REF!</definedName>
    <definedName name="D.O5S">#REF!</definedName>
    <definedName name="D.O6">#REF!</definedName>
    <definedName name="D.O6H">#REF!</definedName>
    <definedName name="D.O6S">#REF!</definedName>
    <definedName name="D.O7">#REF!</definedName>
    <definedName name="D.O7H">#REF!</definedName>
    <definedName name="D.O7S">#REF!</definedName>
    <definedName name="D.O8">#REF!</definedName>
    <definedName name="D.O8H">#REF!</definedName>
    <definedName name="D.O8S">#REF!</definedName>
    <definedName name="D.O9">#REF!</definedName>
    <definedName name="D.O9H">#REF!</definedName>
    <definedName name="D.O9S">#REF!</definedName>
    <definedName name="D.PFA">#REF!</definedName>
    <definedName name="D.PFAD">#REF!</definedName>
    <definedName name="D.PFB">#REF!</definedName>
    <definedName name="D.PFBD">#REF!</definedName>
    <definedName name="D.PFC">#REF!</definedName>
    <definedName name="D.PFCD">#REF!</definedName>
    <definedName name="D.PT">#REF!</definedName>
    <definedName name="D.PTD">#REF!</definedName>
    <definedName name="D.Q">#REF!</definedName>
    <definedName name="D.QA">#REF!</definedName>
    <definedName name="D.QS">#REF!</definedName>
    <definedName name="D.R1">#REF!</definedName>
    <definedName name="D.R2">#REF!</definedName>
    <definedName name="D.R3">#REF!</definedName>
    <definedName name="D.R4">#REF!</definedName>
    <definedName name="D.R5">#REF!</definedName>
    <definedName name="D.R6">#REF!</definedName>
    <definedName name="D.R7">#REF!</definedName>
    <definedName name="D.R8">#REF!</definedName>
    <definedName name="D.SC">#REF!</definedName>
    <definedName name="D.SCD">#REF!</definedName>
    <definedName name="D.SCDSAP">#REF!</definedName>
    <definedName name="D.SCSAP">#REF!</definedName>
    <definedName name="D.SCSAP1">#REF!</definedName>
    <definedName name="D.SCT">#REF!</definedName>
    <definedName name="D.STP">#REF!</definedName>
    <definedName name="D.SU">#REF!</definedName>
    <definedName name="D.SUD">#REF!</definedName>
    <definedName name="D.SUP">#REF!</definedName>
    <definedName name="D.TCS">#REF!</definedName>
    <definedName name="D.TJC">#REF!</definedName>
    <definedName name="D.U1D">#REF!</definedName>
    <definedName name="D.U2D">#REF!</definedName>
    <definedName name="D.U3D">#REF!</definedName>
    <definedName name="D.UCC">#REF!</definedName>
    <definedName name="D.UCD">#REF!</definedName>
    <definedName name="D.UCS">#REF!</definedName>
    <definedName name="D.UJC">#REF!</definedName>
    <definedName name="D.UT">#REF!</definedName>
    <definedName name="D.XTP">#REF!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2">#REF!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y">#REF!</definedName>
    <definedName name="Day_Week_Options">#REF!</definedName>
    <definedName name="DC_Spec">#REF!</definedName>
    <definedName name="dd" localSheetId="0" hidden="1">1/EUReXToLUF</definedName>
    <definedName name="dd" hidden="1">1/EUReXToLUF</definedName>
    <definedName name="DEMeXToEUR" localSheetId="0" hidden="1">1/EUReXToDEM</definedName>
    <definedName name="DEMeXToEUR" hidden="1">1/EUReXToDEM</definedName>
    <definedName name="DEP">"Drop Down 90"</definedName>
    <definedName name="DEPART">#REF!</definedName>
    <definedName name="DEPART1">#REF!</definedName>
    <definedName name="DF.ATPLN">#REF!</definedName>
    <definedName name="DF.TCS">#REF!</definedName>
    <definedName name="Diff">468</definedName>
    <definedName name="District">#REF!</definedName>
    <definedName name="do_calc">#REF!</definedName>
    <definedName name="Dollarkurs">#REF!</definedName>
    <definedName name="DT.AM">#REF!</definedName>
    <definedName name="DT.ATP">#REF!</definedName>
    <definedName name="DT.ATPLN">#REF!</definedName>
    <definedName name="DT.CM">#REF!</definedName>
    <definedName name="DT.CTP">#REF!</definedName>
    <definedName name="DT.CTPSC">#REF!</definedName>
    <definedName name="DT.JC">#REF!</definedName>
    <definedName name="DT.JM">#REF!</definedName>
    <definedName name="DT.PM">#REF!</definedName>
    <definedName name="DT.ST">#REF!</definedName>
    <definedName name="DT.TCS">#REF!</definedName>
    <definedName name="DT.TJC">#REF!</definedName>
    <definedName name="DT.XTP">#REF!</definedName>
    <definedName name="ee" localSheetId="0" hidden="1">1/EUReXToNLG</definedName>
    <definedName name="ee" hidden="1">1/EUReXToNLG</definedName>
    <definedName name="Eigengeschäft">#REF!</definedName>
    <definedName name="EMPLIST">#REF!</definedName>
    <definedName name="EMPNO">#REF!</definedName>
    <definedName name="Entity">#REF!</definedName>
    <definedName name="Ep_6110WS_KP">#REF!</definedName>
    <definedName name="Ep_6110WS_SP">#REF!</definedName>
    <definedName name="Ep_6120LS_KP">#REF!</definedName>
    <definedName name="Ep_6120LS_SP">#REF!</definedName>
    <definedName name="Ep_6210Stat_KP">#REF!</definedName>
    <definedName name="Ep_6210Stat_SP">#REF!</definedName>
    <definedName name="Ep_6310Key_KP">#REF!</definedName>
    <definedName name="Ep_6310Key_SP">#REF!</definedName>
    <definedName name="Ep_6410Ind_KP">#REF!</definedName>
    <definedName name="Ep_6410Ind_SP">#REF!</definedName>
    <definedName name="Ep_Blindpl_KP">#REF!</definedName>
    <definedName name="Ep_Blindpl_SP">#REF!</definedName>
    <definedName name="Ep_IMR011_KP">#REF!</definedName>
    <definedName name="Ep_IMR011_SP">#REF!</definedName>
    <definedName name="Ep_MaxiTP_KP">#REF!</definedName>
    <definedName name="Ep_MaxiTP_SP">#REF!</definedName>
    <definedName name="Ep_Montmat_KP">#REF!</definedName>
    <definedName name="Ep_Montmat_SP">#REF!</definedName>
    <definedName name="Ep_Relaiskarte6ch_KP">#REF!</definedName>
    <definedName name="Ep_Relaiskarte6ch_SP">#REF!</definedName>
    <definedName name="Ep_Softw_KP">#REF!</definedName>
    <definedName name="Ep_Softw_SP">#REF!</definedName>
    <definedName name="equipmentList">#REF!</definedName>
    <definedName name="ErrAuswahl" localSheetId="0">Z7S11</definedName>
    <definedName name="ErrAuswahl">Z7S11</definedName>
    <definedName name="ESPeXToEUR" localSheetId="0" hidden="1">1/EUReXToESP</definedName>
    <definedName name="ESPeXToEUR" hidden="1">1/EUReXToESP</definedName>
    <definedName name="ET20016Relais_KP">#REF!</definedName>
    <definedName name="ET20016Relais_SP">#REF!</definedName>
    <definedName name="ET200analog_KP">#REF!</definedName>
    <definedName name="ET200analog_SP">#REF!</definedName>
    <definedName name="EUReXToATS" hidden="1">#REF!</definedName>
    <definedName name="EUReXToBEF" hidden="1">#REF!</definedName>
    <definedName name="EUReXToDEM" hidden="1">#REF!</definedName>
    <definedName name="EUReXToESP" hidden="1">#REF!</definedName>
    <definedName name="EUReXToFIM" hidden="1">#REF!</definedName>
    <definedName name="EUReXToFRF" hidden="1">#REF!</definedName>
    <definedName name="EUReXToIEP" hidden="1">#REF!</definedName>
    <definedName name="EUReXToITL" hidden="1">#REF!</definedName>
    <definedName name="EUReXToLUF" hidden="1">#REF!</definedName>
    <definedName name="EUReXToNLG" hidden="1">#REF!</definedName>
    <definedName name="EUReXToPTE" hidden="1">#REF!</definedName>
    <definedName name="Euro">#REF!</definedName>
    <definedName name="F.C">#REF!</definedName>
    <definedName name="F.FR">#REF!</definedName>
    <definedName name="F.FS">#REF!</definedName>
    <definedName name="F.S">#REF!</definedName>
    <definedName name="factor_COMM">#REF!</definedName>
    <definedName name="factor_ENG">#REF!</definedName>
    <definedName name="factor_HW">#REF!</definedName>
    <definedName name="factor_HYD">#REF!</definedName>
    <definedName name="factor_INST">#REF!</definedName>
    <definedName name="factor_PER">#REF!</definedName>
    <definedName name="factor_PER_T3000">#REF!</definedName>
    <definedName name="factor_PK">#REF!</definedName>
    <definedName name="factor_PM">#REF!</definedName>
    <definedName name="factor_SI">#REF!</definedName>
    <definedName name="factor_WY">#REF!</definedName>
    <definedName name="FDB_G_Preis_Aufschlag">(1/0.75)-1</definedName>
    <definedName name="FDB_L_Preis_Aufschlag">(1/0.85)-1</definedName>
    <definedName name="Festplatten_ES">#REF!</definedName>
    <definedName name="ff" localSheetId="0" hidden="1">1/EUReXToNLG</definedName>
    <definedName name="ff" hidden="1">1/EUReXToNLG</definedName>
    <definedName name="FIMeXToEUR" localSheetId="0" hidden="1">1/EUReXToFIM</definedName>
    <definedName name="FIMeXToEUR" hidden="1">1/EUReXToFIM</definedName>
    <definedName name="FIN_DATA">#REF!</definedName>
    <definedName name="Finanzierung">#REF!</definedName>
    <definedName name="FK">0</definedName>
    <definedName name="following_units">#REF!</definedName>
    <definedName name="Fremdwährung">#REF!</definedName>
    <definedName name="FRFeXToEUR" localSheetId="0" hidden="1">1/EUReXToFRF</definedName>
    <definedName name="FRFeXToEUR" hidden="1">1/EUReXToFRF</definedName>
    <definedName name="FRFeXToEUR1" localSheetId="0" hidden="1">1/EUReXToFRF</definedName>
    <definedName name="FRFeXToEUR1" hidden="1">1/EUReXToFRF</definedName>
    <definedName name="FS_Classification">#REF!</definedName>
    <definedName name="G_Preis_Aufschlag">#REF!</definedName>
    <definedName name="GA_Preis_Aufschlag">#REF!</definedName>
    <definedName name="GA_Preis_Aufschlag_nicht_FDB">#REF!</definedName>
    <definedName name="gg" localSheetId="0" hidden="1">1/EUReXToLUF</definedName>
    <definedName name="gg" hidden="1">1/EUReXToLUF</definedName>
    <definedName name="GM">#REF!</definedName>
    <definedName name="Grossprojekt">#REF!</definedName>
    <definedName name="GST">#REF!</definedName>
    <definedName name="H.CASH">#REF!,#REF!,#REF!,#REF!,#REF!</definedName>
    <definedName name="H.GM">#REF!,#REF!,#REF!,#REF!</definedName>
    <definedName name="H.PROG">#REF!,#REF!</definedName>
    <definedName name="Handbücher">700</definedName>
    <definedName name="headscat">#REF!</definedName>
    <definedName name="History">#REF!</definedName>
    <definedName name="hours">#REF!</definedName>
    <definedName name="hours18">#REF!</definedName>
    <definedName name="HS_Trafo18">#REF!</definedName>
    <definedName name="HS_Type">#REF!</definedName>
    <definedName name="HST_150MVA">#REF!</definedName>
    <definedName name="HST_50MVA">#REF!</definedName>
    <definedName name="HST_Data">#REF!</definedName>
    <definedName name="HST50_150MVA">#REF!</definedName>
    <definedName name="HTML_CodePage" hidden="1">1252</definedName>
    <definedName name="HTML_Control" localSheetId="0" hidden="1">{"'Deckblatt'!$A$1:$J$36"}</definedName>
    <definedName name="HTML_Control" hidden="1">{"'Deckblatt'!$A$1:$J$36"}</definedName>
    <definedName name="HTML_Description" hidden="1">""</definedName>
    <definedName name="HTML_Email" hidden="1">""</definedName>
    <definedName name="HTML_Header" hidden="1">""</definedName>
    <definedName name="HTML_LastUpdate" hidden="1">"04.02.00"</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"H:\Daten\KLK\MeinHTML.htm"</definedName>
    <definedName name="HTML_Title" hidden="1">""</definedName>
    <definedName name="HW_TAUSCH">#REF!</definedName>
    <definedName name="IEPeXToEUR" localSheetId="0" hidden="1">1/EUReXToIEP</definedName>
    <definedName name="IEPeXToEUR" hidden="1">1/EUReXToIEP</definedName>
    <definedName name="IM304_pro_red_AP_2x_2Steckl.à_200">835+200</definedName>
    <definedName name="Importbedingungen">#REF!</definedName>
    <definedName name="Input">"[Data.xls]Data!"</definedName>
    <definedName name="IOLizenzk_KP">#REF!</definedName>
    <definedName name="IOLizenzk_SP">#REF!</definedName>
    <definedName name="ITLeXToEUR" localSheetId="0" hidden="1">1/EUReXToITL</definedName>
    <definedName name="ITLeXToEUR" hidden="1">1/EUReXToITL</definedName>
    <definedName name="july">#REF!</definedName>
    <definedName name="JUNE">#REF!</definedName>
    <definedName name="K_Bearbeiter">#REF!</definedName>
    <definedName name="KB_Row">200</definedName>
    <definedName name="Konsortialführer">#REF!</definedName>
    <definedName name="Konsortium">#REF!</definedName>
    <definedName name="KUNDE">#REF!</definedName>
    <definedName name="L_C_Abwicklung">#REF!</definedName>
    <definedName name="L_Preis_Aufschlag">#REF!</definedName>
    <definedName name="Labour_Summ_Group">#REF!</definedName>
    <definedName name="labourCode">#REF!</definedName>
    <definedName name="labourRate">#REF!</definedName>
    <definedName name="LAHA_Cost_AUD">#REF!</definedName>
    <definedName name="Laufzeit">#REF!</definedName>
    <definedName name="LiBlEi_150MVA_stdeng">#REF!</definedName>
    <definedName name="LiBlEi_150MVA_stdIBS">#REF!</definedName>
    <definedName name="LiBlEi_150MVA_stdmont">#REF!</definedName>
    <definedName name="LiBlEi_150MVA_stuck">#REF!</definedName>
    <definedName name="LiBlEi_50150MVA_stdeng">#REF!</definedName>
    <definedName name="LiBlEi_50150MVA_stdIBS">#REF!</definedName>
    <definedName name="LiBlEi_50150MVA_stdmont">#REF!</definedName>
    <definedName name="LiBlEi_50150MVA_stuck">#REF!</definedName>
    <definedName name="LiBlEi_50MVA_stdeng">#REF!</definedName>
    <definedName name="LiBlEi_50MVA_stdIBS">#REF!</definedName>
    <definedName name="LiBlEi_50MVA_stdmont">#REF!</definedName>
    <definedName name="LiBlEi_50MVA_stuck">#REF!</definedName>
    <definedName name="limcount" hidden="1">1</definedName>
    <definedName name="LUFeXToEUR" localSheetId="0" hidden="1">1/EUReXToLUF</definedName>
    <definedName name="LUFeXToEUR" hidden="1">1/EUReXToLUF</definedName>
    <definedName name="MhrInitialEstimate">#REF!</definedName>
    <definedName name="mm" localSheetId="0" hidden="1">1/EUReXToIEP</definedName>
    <definedName name="mm" hidden="1">1/EUReXToIEP</definedName>
    <definedName name="Mob">0.25</definedName>
    <definedName name="MontageText">#REF!</definedName>
    <definedName name="Montagewert">#REF!</definedName>
    <definedName name="MTD">#REF!</definedName>
    <definedName name="MTDCC">#REF!</definedName>
    <definedName name="NLGeXToEUR" localSheetId="0" hidden="1">1/EUReXToNLG</definedName>
    <definedName name="NLGeXToEUR" hidden="1">1/EUReXToNLG</definedName>
    <definedName name="nn" localSheetId="0" hidden="1">1/EUReXToFRF</definedName>
    <definedName name="nn" hidden="1">1/EUReXToFRF</definedName>
    <definedName name="number_of_units">#REF!</definedName>
    <definedName name="Office">#REF!</definedName>
    <definedName name="OM_DS">#REF!</definedName>
    <definedName name="OMME">#REF!</definedName>
    <definedName name="ORT">#REF!</definedName>
    <definedName name="PA">#REF!</definedName>
    <definedName name="Payroll">#REF!</definedName>
    <definedName name="PB">#REF!</definedName>
    <definedName name="PC">#REF!</definedName>
    <definedName name="PD">#REF!</definedName>
    <definedName name="PE">#REF!</definedName>
    <definedName name="Personnel_Number">#REF!</definedName>
    <definedName name="PF">#REF!</definedName>
    <definedName name="PG">#REF!</definedName>
    <definedName name="PH">#REF!</definedName>
    <definedName name="PI">#REF!</definedName>
    <definedName name="PJ">#REF!</definedName>
    <definedName name="PK">#REF!</definedName>
    <definedName name="PKENNWORT">#REF!</definedName>
    <definedName name="PL">#REF!</definedName>
    <definedName name="Planungspauschale_KP">#REF!</definedName>
    <definedName name="Planungspauschale_SP">#REF!</definedName>
    <definedName name="PM">#REF!</definedName>
    <definedName name="PN">#REF!</definedName>
    <definedName name="PO">#REF!</definedName>
    <definedName name="Pos_1">#REF!</definedName>
    <definedName name="POS_MS">#REF!</definedName>
    <definedName name="PP">#REF!</definedName>
    <definedName name="PQ">#REF!</definedName>
    <definedName name="PR">#REF!</definedName>
    <definedName name="Preissteigerung0405">#REF!</definedName>
    <definedName name="Prep_Planning_Cost_AUD">#REF!</definedName>
    <definedName name="Prep_Planning_Cost_IC">#REF!</definedName>
    <definedName name="Prep_Planning_Lab_Hrs">#REF!</definedName>
    <definedName name="Price_Transaction">#REF!</definedName>
    <definedName name="_xlnm.Print_Area" localSheetId="0">'Skilled Labour'!$C$1:$Q$335</definedName>
    <definedName name="_xlnm.Print_Area">#REF!</definedName>
    <definedName name="Print_Area_MI">#REF!</definedName>
    <definedName name="print_area_new">#REF!</definedName>
    <definedName name="print_area_new1">#REF!</definedName>
    <definedName name="_xlnm.Print_Titles" localSheetId="0">'Skilled Labour'!$2:$2</definedName>
    <definedName name="_xlnm.Print_Titles">#REF!,#REF!</definedName>
    <definedName name="PrintNSW">#REF!</definedName>
    <definedName name="PrintQLD">#REF!</definedName>
    <definedName name="PrintSA">#REF!</definedName>
    <definedName name="PrintTAS">#REF!</definedName>
    <definedName name="PrintVIC">#REF!</definedName>
    <definedName name="PrintWA">#REF!</definedName>
    <definedName name="prochouse">#REF!</definedName>
    <definedName name="Projekt_name">#REF!</definedName>
    <definedName name="Projektart">#REF!</definedName>
    <definedName name="Projektdatei">"[Mt_Piper_FSISS.xld]"</definedName>
    <definedName name="Projekte">#REF!</definedName>
    <definedName name="PTEeXToEUR" localSheetId="0" hidden="1">1/EUReXToPTE</definedName>
    <definedName name="PTEeXToEUR" hidden="1">1/EUReXToPTE</definedName>
    <definedName name="QA">#REF!</definedName>
    <definedName name="QB">#REF!</definedName>
    <definedName name="QC">#REF!</definedName>
    <definedName name="QD">#REF!</definedName>
    <definedName name="QE">#REF!</definedName>
    <definedName name="QF">#REF!</definedName>
    <definedName name="QG">#REF!</definedName>
    <definedName name="QH">#REF!</definedName>
    <definedName name="QI">#REF!</definedName>
    <definedName name="QJ">#REF!</definedName>
    <definedName name="QK">#REF!</definedName>
    <definedName name="QL">#REF!</definedName>
    <definedName name="QM">#REF!</definedName>
    <definedName name="QN">#REF!</definedName>
    <definedName name="QO">#REF!</definedName>
    <definedName name="QP">#REF!</definedName>
    <definedName name="QQ">#REF!</definedName>
    <definedName name="QR">#REF!</definedName>
    <definedName name="RATE">#REF!</definedName>
    <definedName name="rateType">#REF!</definedName>
    <definedName name="Reports_Reconcil_Cost_AUD">#REF!</definedName>
    <definedName name="Reports_Reconcil_Cost_IC">#REF!</definedName>
    <definedName name="Reports_Reconcil_Lab_Hrs">#REF!</definedName>
    <definedName name="Revision">#REF!</definedName>
    <definedName name="Ringteilung">#REF!</definedName>
    <definedName name="rr" localSheetId="0" hidden="1">1/EUReXToPTE</definedName>
    <definedName name="rr" hidden="1">1/EUReXToPTE</definedName>
    <definedName name="S.C1">#REF!</definedName>
    <definedName name="S.O01">#REF!</definedName>
    <definedName name="S.O02">#REF!</definedName>
    <definedName name="S.O03">#REF!</definedName>
    <definedName name="S.O04">#REF!</definedName>
    <definedName name="S.O05">#REF!</definedName>
    <definedName name="S.O06">#REF!</definedName>
    <definedName name="S.O07">#REF!</definedName>
    <definedName name="S.O08">#REF!</definedName>
    <definedName name="S.O09">#REF!</definedName>
    <definedName name="S.O10">#REF!</definedName>
    <definedName name="S.T01">#REF!</definedName>
    <definedName name="S_4">#REF!</definedName>
    <definedName name="S_5">#REF!</definedName>
    <definedName name="S_6">#REF!</definedName>
    <definedName name="S_7">#REF!</definedName>
    <definedName name="S_8">#REF!</definedName>
    <definedName name="S_9">#REF!</definedName>
    <definedName name="SAPBEXrevision" hidden="1">1</definedName>
    <definedName name="SAPBEXsysID" hidden="1">"PQI"</definedName>
    <definedName name="SAPBEXwbID" hidden="1">"099HI876R4TWXQL3LOFHEID22"</definedName>
    <definedName name="scope_num">#REF!</definedName>
    <definedName name="sencount" hidden="1">1</definedName>
    <definedName name="set_calc">#REF!</definedName>
    <definedName name="set_miss">#REF!</definedName>
    <definedName name="Siemens_Ltd___Medical_CS___Total_Australia_Utilisation_Report">#REF!</definedName>
    <definedName name="Siemens_Ltd___Medical_CS___Total_NSW_Utilisation_Report">#REF!</definedName>
    <definedName name="Siemens_Ltd___Medical_CS___Total_QLD_Utilisation_Report">#REF!</definedName>
    <definedName name="Siemens_Ltd___Medical_CS___Total_SA_Utilisation_Report">#REF!</definedName>
    <definedName name="Siemens_Ltd___Medical_CS___Total_TAS_Utilisation_Report">#REF!</definedName>
    <definedName name="Siemens_Ltd___Medical_CS___Total_VIC_Utilisation_Report">#REF!</definedName>
    <definedName name="Siemens_Ltd___Medical_CS___Total_WA_Utilisation_Report">#REF!</definedName>
    <definedName name="Site_Labour_Cost_AUD">#REF!</definedName>
    <definedName name="Site_Labour_Cost_IC">#REF!</definedName>
    <definedName name="Site_Labour_Hours">#REF!</definedName>
    <definedName name="Site_Labour_Hours_sell">#REF!</definedName>
    <definedName name="Site_Labour_Sell_AUD">#REF!</definedName>
    <definedName name="SOL">#REF!</definedName>
    <definedName name="sonder_v_preis">#REF!</definedName>
    <definedName name="sonder_v_preis0506">#REF!</definedName>
    <definedName name="Sonstiges_pro_BGT">500</definedName>
    <definedName name="Sonstiges_pro_Schrank">1700</definedName>
    <definedName name="Sprachanpassung">#REF!</definedName>
    <definedName name="Sprache">1</definedName>
    <definedName name="ss" localSheetId="0" hidden="1">1/EUReXToITL</definedName>
    <definedName name="ss" hidden="1">1/EUReXToITL</definedName>
    <definedName name="state2002ist">#REF!</definedName>
    <definedName name="state2003cf">#REF!</definedName>
    <definedName name="state2003plan">#REF!</definedName>
    <definedName name="state2004plan">#REF!</definedName>
    <definedName name="state2005cf">#REF!</definedName>
    <definedName name="state2006cf">#REF!</definedName>
    <definedName name="stdeng">#REF!</definedName>
    <definedName name="stdIBS">#REF!</definedName>
    <definedName name="stdmon">#REF!</definedName>
    <definedName name="stdmont">#REF!</definedName>
    <definedName name="stuck">#REF!</definedName>
    <definedName name="Stundensatz">#REF!</definedName>
    <definedName name="SUBMITTED">#REF!</definedName>
    <definedName name="SUBNO">#REF!</definedName>
    <definedName name="Summe_Bestellpos.">#REF!</definedName>
    <definedName name="Summe_ES">#REF!</definedName>
    <definedName name="Summe_In_House">#REF!</definedName>
    <definedName name="Summe_Leistung">#REF!</definedName>
    <definedName name="Summe_OM">#REF!</definedName>
    <definedName name="Summe_Vor_Ort">#REF!</definedName>
    <definedName name="Summe_vorh_OM">#REF!</definedName>
    <definedName name="Svr">0.08</definedName>
    <definedName name="SW_HR">#REF!</definedName>
    <definedName name="SWLC.B">#REF!</definedName>
    <definedName name="system_technology">#REF!</definedName>
    <definedName name="t" localSheetId="0" hidden="1">1/EUReXToFIM</definedName>
    <definedName name="t" hidden="1">1/EUReXToFIM</definedName>
    <definedName name="TA">#REF!</definedName>
    <definedName name="Table2">#REF!</definedName>
    <definedName name="Table3">#REF!</definedName>
    <definedName name="TB">#REF!</definedName>
    <definedName name="TblDay">#REF!</definedName>
    <definedName name="TC">#REF!</definedName>
    <definedName name="TD">#REF!</definedName>
    <definedName name="TE">#REF!</definedName>
    <definedName name="TELEFON">#REF!</definedName>
    <definedName name="Televisio">#REF!</definedName>
    <definedName name="Test">#REF!</definedName>
    <definedName name="TEST0">#REF!</definedName>
    <definedName name="TEST1">#REF!</definedName>
    <definedName name="TEST2">#REF!</definedName>
    <definedName name="TEST3">#REF!</definedName>
    <definedName name="TESTCSP_MASTER_List">#REF!</definedName>
    <definedName name="TESTHKEY">#REF!</definedName>
    <definedName name="TESTKEYS">#REF!</definedName>
    <definedName name="TESTVKEY">#REF!</definedName>
    <definedName name="TF">#REF!</definedName>
    <definedName name="TG">#REF!</definedName>
    <definedName name="TH">#REF!</definedName>
    <definedName name="TI">#REF!</definedName>
    <definedName name="TJ">#REF!</definedName>
    <definedName name="TK">#REF!</definedName>
    <definedName name="TL">#REF!</definedName>
    <definedName name="TM">#REF!</definedName>
    <definedName name="TN">#REF!</definedName>
    <definedName name="TNUMMER">#REF!</definedName>
    <definedName name="TO">#REF!</definedName>
    <definedName name="Tool_Classification">#REF!</definedName>
    <definedName name="TOOLS">#REF!</definedName>
    <definedName name="TOTAL">#REF!</definedName>
    <definedName name="Total_Days_Accom">#REF!</definedName>
    <definedName name="Total_Fares_AUD">#REF!</definedName>
    <definedName name="Total_Fares_IC">#REF!</definedName>
    <definedName name="Total_Travel_Time">#REF!</definedName>
    <definedName name="TP">#REF!</definedName>
    <definedName name="TQ">#REF!</definedName>
    <definedName name="TR">#REF!</definedName>
    <definedName name="Trades_Classification">#REF!</definedName>
    <definedName name="Travel_Summ_Group">#REF!</definedName>
    <definedName name="Travel_Time_Cost_AUD">#REF!</definedName>
    <definedName name="Travel_Time_Cost_IC">#REF!</definedName>
    <definedName name="treeList" hidden="1">"10000000000000000000000000000000000000000000000000000000000000000000000000000000000000000000000000000000000000000000000000000000000000000000000000000000000000000000000000000000000000000000000000000000"</definedName>
    <definedName name="try">#REF!</definedName>
    <definedName name="u" localSheetId="0" hidden="1">1/EUReXToFRF</definedName>
    <definedName name="u" hidden="1">1/EUReXToFRF</definedName>
    <definedName name="ü" localSheetId="0" hidden="1">1/EUReXToNLG</definedName>
    <definedName name="ü" hidden="1">1/EUReXToNLG</definedName>
    <definedName name="U_KoStruk">#REF!</definedName>
    <definedName name="U_Project">#REF!</definedName>
    <definedName name="UA">#REF!</definedName>
    <definedName name="UB">#REF!</definedName>
    <definedName name="UC">#REF!</definedName>
    <definedName name="UD">#REF!</definedName>
    <definedName name="UE">#REF!</definedName>
    <definedName name="UF">#REF!</definedName>
    <definedName name="UG">#REF!</definedName>
    <definedName name="UH">#REF!</definedName>
    <definedName name="UI">#REF!</definedName>
    <definedName name="UJ">#REF!</definedName>
    <definedName name="UK">#REF!</definedName>
    <definedName name="UL">#REF!</definedName>
    <definedName name="UM">#REF!</definedName>
    <definedName name="UN">#REF!</definedName>
    <definedName name="UO">#REF!</definedName>
    <definedName name="UP">#REF!</definedName>
    <definedName name="UQ">#REF!</definedName>
    <definedName name="UR">#REF!</definedName>
    <definedName name="V_Preis_Aufschlag">#REF!</definedName>
    <definedName name="varStatus">#REF!</definedName>
    <definedName name="VBDKWUAbschlag">#REF!</definedName>
    <definedName name="Verdrahtung_KP">#REF!</definedName>
    <definedName name="Verdrahtung_SP">#REF!</definedName>
    <definedName name="Vibmon_8Analog">#REF!</definedName>
    <definedName name="Vibmon_8Analog_AP">#REF!</definedName>
    <definedName name="Vibmon_8Analog_KP">#REF!</definedName>
    <definedName name="Vibmon_8Relais">#REF!</definedName>
    <definedName name="Vibmon_8Relais_AP">#REF!</definedName>
    <definedName name="Vibmon_8Relais_KP">#REF!</definedName>
    <definedName name="Vibmon_Backplane">#REF!</definedName>
    <definedName name="Vibmon_Backplane_AP">#REF!</definedName>
    <definedName name="Vibmon_Backplane_KP">#REF!</definedName>
    <definedName name="Vibmon_Kopfstation">#REF!</definedName>
    <definedName name="Vibmon_Kopfstation_AP">#REF!</definedName>
    <definedName name="Vibmon_Kopfstation_KP">#REF!</definedName>
    <definedName name="Vibmon_Lizenz">#REF!</definedName>
    <definedName name="Vibmon_Lizenz_AP">#REF!</definedName>
    <definedName name="Vibmon_Lizenz_KP">#REF!</definedName>
    <definedName name="Vibmon_Setup_SW">#REF!</definedName>
    <definedName name="Vibmon_Setup_SW_AP">#REF!</definedName>
    <definedName name="Vibmon_Setup_SW_KP">#REF!</definedName>
    <definedName name="Vibmon_T3000Firmware">#REF!</definedName>
    <definedName name="Vibmon_T3000Firmware_KP">#REF!</definedName>
    <definedName name="Vibmon_T3000Firmware_SP">#REF!</definedName>
    <definedName name="Vibmon_T3000Int">#REF!</definedName>
    <definedName name="Vibmon_T3000Int_AP">#REF!</definedName>
    <definedName name="Vibmon_T3000Int_KP">#REF!</definedName>
    <definedName name="Vibmon_Terminalmodul">#REF!</definedName>
    <definedName name="Vibmon_Terminalmodul_AP">#REF!</definedName>
    <definedName name="Vibmon_Terminalmodul_KP">#REF!</definedName>
    <definedName name="VM_ABE042_KP">#REF!</definedName>
    <definedName name="VM_ABE042_SP">#REF!</definedName>
    <definedName name="VM_CMC16_KP">#REF!</definedName>
    <definedName name="VM_CMC16_SP">#REF!</definedName>
    <definedName name="VM_CMS_SW_KP">#REF!</definedName>
    <definedName name="VM_CMS_SW_SP">#REF!</definedName>
    <definedName name="VM_CPU_M_KP">#REF!</definedName>
    <definedName name="VM_CPU_M_SP">#REF!</definedName>
    <definedName name="VM_IOC16_KP">#REF!</definedName>
    <definedName name="VM_IOC16_SP">#REF!</definedName>
    <definedName name="VM_IOC4T_KP">#REF!</definedName>
    <definedName name="VM_IOC4T_SP">#REF!</definedName>
    <definedName name="VM_MPC4_KP">#REF!</definedName>
    <definedName name="VM_MPC4_SP">#REF!</definedName>
    <definedName name="VM_RLC16_KP">#REF!</definedName>
    <definedName name="VM_RLC16_SP">#REF!</definedName>
    <definedName name="VM_RPS6U_KP">#REF!</definedName>
    <definedName name="VM_RPS6U_SP">#REF!</definedName>
    <definedName name="VMKonfig_KP">#REF!</definedName>
    <definedName name="VMKonfig_SP">#REF!</definedName>
    <definedName name="VMRabattSiemens">#REF!</definedName>
    <definedName name="vv" localSheetId="0" hidden="1">1/EUReXToESP</definedName>
    <definedName name="vv" hidden="1">1/EUReXToESP</definedName>
    <definedName name="w" localSheetId="0" hidden="1">1/EUReXToBEF</definedName>
    <definedName name="w" hidden="1">1/EUReXToBEF</definedName>
    <definedName name="WH_CODE">#REF!</definedName>
    <definedName name="wrn.Complete._.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0"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Report._.Nachkalkulation." localSheetId="0" hidden="1">{"Nachkalkulation Projektergebnis",#N/A,FALSE,"Nachkalkulation Projektergebnis";"Nachkalkulation Kapitalkosten",#N/A,FALSE,"Nachkalkulation Kap_Kost"}</definedName>
    <definedName name="wrn.Report._.Nachkalkulation." hidden="1">{"Nachkalkulation Projektergebnis",#N/A,FALSE,"Nachkalkulation Projektergebnis";"Nachkalkulation Kapitalkosten",#N/A,FALSE,"Nachkalkulation Kap_Kost"}</definedName>
    <definedName name="ww" localSheetId="0" hidden="1">1/EUReXToLUF</definedName>
    <definedName name="ww" hidden="1">1/EUReXToLUF</definedName>
    <definedName name="x" hidden="1">#REF!</definedName>
    <definedName name="xx" localSheetId="0" hidden="1">1/EUReXToBEF</definedName>
    <definedName name="xx" hidden="1">1/EUReXToBEF</definedName>
    <definedName name="XXXX" localSheetId="0">"["&amp;Basis_Datei&amp;"]Blank!"</definedName>
    <definedName name="XXXX">"["&amp;Basis_Datei&amp;"]Blank!"</definedName>
    <definedName name="y" localSheetId="0" hidden="1">1/EUReXToPTE</definedName>
    <definedName name="y" hidden="1">1/EUReXToPTE</definedName>
    <definedName name="yesNo">#REF!</definedName>
    <definedName name="ytd">#REF!</definedName>
    <definedName name="ytd_data">#REF!</definedName>
    <definedName name="yy" localSheetId="0" hidden="1">1/EUReXToATS</definedName>
    <definedName name="yy" hidden="1">1/EUReXToATS</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335" i="1" l="1"/>
  <c r="L318" i="1"/>
  <c r="J318" i="1"/>
  <c r="L307" i="1"/>
  <c r="J307" i="1"/>
  <c r="L303" i="1"/>
  <c r="J303" i="1"/>
  <c r="L297" i="1"/>
  <c r="J297" i="1"/>
  <c r="L284" i="1"/>
  <c r="J284" i="1"/>
  <c r="L281" i="1"/>
  <c r="J281" i="1"/>
  <c r="L255" i="1"/>
  <c r="J255" i="1"/>
  <c r="L252" i="1"/>
  <c r="J252" i="1"/>
  <c r="L248" i="1"/>
  <c r="J248" i="1"/>
  <c r="L234" i="1"/>
  <c r="J234" i="1"/>
  <c r="L219" i="1"/>
  <c r="J219" i="1"/>
  <c r="L213" i="1"/>
  <c r="J213" i="1"/>
  <c r="L210" i="1"/>
  <c r="J210" i="1"/>
  <c r="L207" i="1"/>
  <c r="J207" i="1"/>
  <c r="L205" i="1"/>
  <c r="J205" i="1"/>
  <c r="L196" i="1"/>
  <c r="J196" i="1"/>
  <c r="L177" i="1"/>
  <c r="J177" i="1"/>
  <c r="L169" i="1"/>
  <c r="J169" i="1"/>
  <c r="L158" i="1"/>
  <c r="J158" i="1"/>
  <c r="L151" i="1"/>
  <c r="J151" i="1"/>
  <c r="L149" i="1"/>
  <c r="J149" i="1"/>
  <c r="L134" i="1"/>
  <c r="J134" i="1"/>
  <c r="L130" i="1"/>
  <c r="J130" i="1"/>
  <c r="L126" i="1"/>
  <c r="J126" i="1"/>
  <c r="L122" i="1"/>
  <c r="J122" i="1"/>
  <c r="L118" i="1"/>
  <c r="J118" i="1"/>
  <c r="L114" i="1"/>
  <c r="J114" i="1"/>
  <c r="L108" i="1"/>
  <c r="J108" i="1"/>
  <c r="L104" i="1"/>
  <c r="J104" i="1"/>
  <c r="L102" i="1"/>
  <c r="J102" i="1"/>
  <c r="L93" i="1"/>
  <c r="J93" i="1"/>
  <c r="L85" i="1"/>
  <c r="J85" i="1"/>
  <c r="L77" i="1"/>
  <c r="J77" i="1"/>
  <c r="L69" i="1"/>
  <c r="J69" i="1"/>
  <c r="L61" i="1"/>
  <c r="J61" i="1"/>
  <c r="L54" i="1"/>
  <c r="J54" i="1"/>
  <c r="L47" i="1"/>
  <c r="J47" i="1"/>
  <c r="L40" i="1"/>
  <c r="J40" i="1"/>
  <c r="L33" i="1"/>
  <c r="J33" i="1"/>
  <c r="L25" i="1"/>
  <c r="J25" i="1"/>
  <c r="L23" i="1"/>
  <c r="J23" i="1"/>
  <c r="L3" i="1"/>
  <c r="J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Mustapha, Isa</author>
  </authors>
  <commentList>
    <comment ref="J150" authorId="0" shapeId="0" xr:uid="{64A443E5-2644-44CE-BFBF-522C2E5A9E8B}">
      <text>
        <r>
          <rPr>
            <b/>
            <sz val="9"/>
            <color indexed="81"/>
            <rFont val="Tahoma"/>
            <family val="2"/>
          </rPr>
          <t>Mustapha, Isa:</t>
        </r>
        <r>
          <rPr>
            <sz val="9"/>
            <color indexed="81"/>
            <rFont val="Tahoma"/>
            <family val="2"/>
          </rPr>
          <t xml:space="preserve">
SEAG</t>
        </r>
      </text>
    </comment>
  </commentList>
</comments>
</file>

<file path=xl/sharedStrings.xml><?xml version="1.0" encoding="utf-8"?>
<sst xmlns="http://schemas.openxmlformats.org/spreadsheetml/2006/main" count="2213" uniqueCount="960">
  <si>
    <t>Scope of Work</t>
  </si>
  <si>
    <r>
      <t>Target Cost Estimate</t>
    </r>
    <r>
      <rPr>
        <b/>
        <sz val="12"/>
        <color rgb="FFFF0000"/>
        <rFont val="Calibri"/>
        <family val="2"/>
        <scheme val="minor"/>
      </rPr>
      <t xml:space="preserve"> (19/2/26)</t>
    </r>
  </si>
  <si>
    <t>Adjusted Target Cost Estimate</t>
  </si>
  <si>
    <t xml:space="preserve">Contract Execution </t>
  </si>
  <si>
    <t>Service Order Number/Release</t>
  </si>
  <si>
    <t>Work Order and Work Order Task Combined</t>
  </si>
  <si>
    <t>Scope No.</t>
  </si>
  <si>
    <t>Unit 2 2026 Turbine Scope Development - Activity description</t>
  </si>
  <si>
    <t>Scope Type</t>
  </si>
  <si>
    <t>Task responsibility (Contractor/ NRGGOS/ Others)</t>
  </si>
  <si>
    <t>Variable Scope Measurement Definition</t>
  </si>
  <si>
    <t>Comment</t>
  </si>
  <si>
    <t>Estimated Hours</t>
  </si>
  <si>
    <t>Gang rate $/hr</t>
  </si>
  <si>
    <t xml:space="preserve">Estimated Total Cost </t>
  </si>
  <si>
    <t>Notes</t>
  </si>
  <si>
    <r>
      <t xml:space="preserve">Estimated Total Cost </t>
    </r>
    <r>
      <rPr>
        <b/>
        <sz val="12"/>
        <color rgb="FF7030A0"/>
        <rFont val="Calibri"/>
        <family val="2"/>
        <scheme val="minor"/>
      </rPr>
      <t xml:space="preserve"> (excl.GST)</t>
    </r>
  </si>
  <si>
    <t>Week 1 - Actual Hours</t>
  </si>
  <si>
    <t xml:space="preserve">Week 1 - Actual Total Cost </t>
  </si>
  <si>
    <t>Week 2 - Actual Hours</t>
  </si>
  <si>
    <t xml:space="preserve">Week 2 - Actual Total Cost </t>
  </si>
  <si>
    <t>Week 3 - Actual Hours</t>
  </si>
  <si>
    <t xml:space="preserve">Week 3 - Actual Total Cost </t>
  </si>
  <si>
    <t>Week 4 - Actual Hours</t>
  </si>
  <si>
    <t xml:space="preserve">Week 4 - Actual Total Cost </t>
  </si>
  <si>
    <t>Week 5 - Actual Hours</t>
  </si>
  <si>
    <t xml:space="preserve">Week 5 - Actual Total Cost </t>
  </si>
  <si>
    <t>Week 6 - Actual Hours</t>
  </si>
  <si>
    <t xml:space="preserve">Week 6 - Actual Total Cost </t>
  </si>
  <si>
    <t>Week 7 - Actual Hours</t>
  </si>
  <si>
    <t xml:space="preserve">Week 7 - Actual Total Cost </t>
  </si>
  <si>
    <t>Week 8 - Actual Hours</t>
  </si>
  <si>
    <t xml:space="preserve">Week 8 - Actual Total Cost </t>
  </si>
  <si>
    <t>Week 9 - Actual Hours</t>
  </si>
  <si>
    <t xml:space="preserve">Week 9 - Actual Total Cost </t>
  </si>
  <si>
    <t>Week 10 - Actual Hours</t>
  </si>
  <si>
    <t xml:space="preserve">Week 10 - Actual Total Cost </t>
  </si>
  <si>
    <t>Week 11 - Actual Hours</t>
  </si>
  <si>
    <t xml:space="preserve">Week 11 - Actual Total Cost </t>
  </si>
  <si>
    <t>Variation Hours</t>
  </si>
  <si>
    <t>Variation Amount</t>
  </si>
  <si>
    <t>Total - Actual Hours</t>
  </si>
  <si>
    <t xml:space="preserve">Total - Actual Total Cost </t>
  </si>
  <si>
    <t xml:space="preserve">Total - Actual Gang Rate </t>
  </si>
  <si>
    <t>Percentage of Hours Complete</t>
  </si>
  <si>
    <t>Percentage of Cost Used</t>
  </si>
  <si>
    <t>Task Complete</t>
  </si>
  <si>
    <t>Forecast Cost for Completion of Project</t>
  </si>
  <si>
    <t xml:space="preserve"> 00173164/00001</t>
  </si>
  <si>
    <t>HP - 8.52.6</t>
  </si>
  <si>
    <t>HP  Dismantling (Refer to 7.2.1 and 7.2.2 of Scope of Works)</t>
  </si>
  <si>
    <t>28243980-04</t>
  </si>
  <si>
    <t>8.52.6.005</t>
  </si>
  <si>
    <t>Remove casing to bearing pedestal keys (this task to be discussed with NRG Engineering before removal)</t>
  </si>
  <si>
    <t>F</t>
  </si>
  <si>
    <t>Contractor</t>
  </si>
  <si>
    <t>In 2026 Overhaul</t>
  </si>
  <si>
    <t>28243980-05</t>
  </si>
  <si>
    <t>8.52.6.011</t>
  </si>
  <si>
    <t>Install shaft raising equipment and support the HP and IP rotors</t>
  </si>
  <si>
    <t>28243980-14</t>
  </si>
  <si>
    <t>8.52.6.155</t>
  </si>
  <si>
    <t>Install the radial and axial bearing/pedestal/casing keys</t>
  </si>
  <si>
    <t>28243980-15</t>
  </si>
  <si>
    <t>8.52.6.159</t>
  </si>
  <si>
    <t>Check HP Shaft to pedestal measurements (radial measurements to be compared to last Overhaul records)</t>
  </si>
  <si>
    <t>28243980-17</t>
  </si>
  <si>
    <t>8.52.6.162</t>
  </si>
  <si>
    <t>Engage HP-IP &amp; IP-LP Spiggots, install temporary bolts</t>
  </si>
  <si>
    <t>O</t>
  </si>
  <si>
    <t>This task is not in current scope for 2026, as we are not splitting the HP,IP and LP front  to be performed only by Principal Superintendant approval)</t>
  </si>
  <si>
    <t>28243980-18</t>
  </si>
  <si>
    <t>8.52.6.163</t>
  </si>
  <si>
    <t>Install Axial Keys on HP Turbine &amp; Set</t>
  </si>
  <si>
    <t>28243980-19</t>
  </si>
  <si>
    <t>8.52.6.164</t>
  </si>
  <si>
    <t>Check Axial Position of HP, IP &amp; LP Turbine</t>
  </si>
  <si>
    <t>28243986-31</t>
  </si>
  <si>
    <t>8.52.6.200</t>
  </si>
  <si>
    <t xml:space="preserve">Perform coupling alignment of the HP/IP, IP/LP rotors </t>
  </si>
  <si>
    <t>Only if required.</t>
  </si>
  <si>
    <t xml:space="preserve">Fit coupling bolts HP-IP &amp; IP-LP </t>
  </si>
  <si>
    <t>Not in current 2026 scope</t>
  </si>
  <si>
    <t>Tighten HP/IP coupling including concentricity checks</t>
  </si>
  <si>
    <t>Tighten IP/LP coupling including concentricity checks</t>
  </si>
  <si>
    <t>Fit windage plates to the couplings</t>
  </si>
  <si>
    <t>28243980-25</t>
  </si>
  <si>
    <t>8.52.6.169</t>
  </si>
  <si>
    <t>Perform Axial Bump Test (all coupled total float)</t>
  </si>
  <si>
    <t>28243980-26</t>
  </si>
  <si>
    <t>8.52.6.171</t>
  </si>
  <si>
    <t>Remove Number 2 and fit thrust pads and perform thrust clearance check</t>
  </si>
  <si>
    <t>28243980-27</t>
  </si>
  <si>
    <t>8.52.6.172</t>
  </si>
  <si>
    <t>Install and perform run out on Stub Shaft</t>
  </si>
  <si>
    <t>28243980-28</t>
  </si>
  <si>
    <t>8.52.6.201</t>
  </si>
  <si>
    <t>Install the main oil pump including alignments, etc.</t>
  </si>
  <si>
    <t>28243980-29</t>
  </si>
  <si>
    <t>8.52.6.173</t>
  </si>
  <si>
    <t>Adjust casings axial setting for positive and negative clearances, grind keys and fit</t>
  </si>
  <si>
    <t>28243980-30</t>
  </si>
  <si>
    <t>8.52.6.174</t>
  </si>
  <si>
    <t>Initial Rollout Check IP &amp; HP Turbine</t>
  </si>
  <si>
    <t>This scope is only required if changes are needed due to Turbine shaft to bearing pedestal measurements being different. Please put hours in the TCE to reflect this in case this task is performed.</t>
  </si>
  <si>
    <t>28243986-52</t>
  </si>
  <si>
    <t>8.52.6.178</t>
  </si>
  <si>
    <t>Turbine on barring</t>
  </si>
  <si>
    <t>IP - 8.53.6</t>
  </si>
  <si>
    <t>IP Turbine (Refer to 7.7 in Scope of Work)</t>
  </si>
  <si>
    <t>28243983-02</t>
  </si>
  <si>
    <t>8.53.6.004</t>
  </si>
  <si>
    <t>Remove the radial and axial keys (IP casing to bearing pedestals) check clearances are within specfication.</t>
  </si>
  <si>
    <t>LP - 8.54.6</t>
  </si>
  <si>
    <t>LP Rotor</t>
  </si>
  <si>
    <t>28243983-03</t>
  </si>
  <si>
    <t>8.54.6.028</t>
  </si>
  <si>
    <t>Measure and record reference data as required to determine the correct procedure for reassembly.</t>
  </si>
  <si>
    <t>28243983-04</t>
  </si>
  <si>
    <t>8.54.6.029</t>
  </si>
  <si>
    <t>Measure and record rotor in relationship to pedestal, compare figures to 2019 outage.</t>
  </si>
  <si>
    <t>28243983-05</t>
  </si>
  <si>
    <t>8.54.6.030</t>
  </si>
  <si>
    <t>Clean and inspect coupling faces.</t>
  </si>
  <si>
    <t>28243984-01</t>
  </si>
  <si>
    <t>8.54.6.031</t>
  </si>
  <si>
    <t>Check hood spray piping nozzles, supports, bled steam drains and unions.</t>
  </si>
  <si>
    <t>28243984-02</t>
  </si>
  <si>
    <t>8.54.6.032</t>
  </si>
  <si>
    <t>Replacement of LP outer hood bursting discs (4 off).</t>
  </si>
  <si>
    <t>28243984-04</t>
  </si>
  <si>
    <t>8.54.6.048</t>
  </si>
  <si>
    <t>Clean, measure and record all key fits.</t>
  </si>
  <si>
    <t>28243984-07</t>
  </si>
  <si>
    <t>8.54.6.049</t>
  </si>
  <si>
    <t>Visual inspection &amp; report on the LP glands</t>
  </si>
  <si>
    <t>00173164/00003</t>
  </si>
  <si>
    <t>HPVS1 - 8.55.6</t>
  </si>
  <si>
    <t>HP Stop Valve No. 1</t>
  </si>
  <si>
    <t>28243981-05</t>
  </si>
  <si>
    <t>8.55.6.001</t>
  </si>
  <si>
    <t>Remove valve and actuator</t>
  </si>
  <si>
    <t>28243981-06</t>
  </si>
  <si>
    <t>8.55.6.002</t>
  </si>
  <si>
    <t>Overhaul actuator</t>
  </si>
  <si>
    <t>28243981-07</t>
  </si>
  <si>
    <t>8.55.6.003</t>
  </si>
  <si>
    <t>Overhaul valve</t>
  </si>
  <si>
    <t>28243981-08</t>
  </si>
  <si>
    <t>8.55.6.004</t>
  </si>
  <si>
    <t>Check seat condition, lap/grind seat as required</t>
  </si>
  <si>
    <t>28243981-09</t>
  </si>
  <si>
    <t>8.55.6.005</t>
  </si>
  <si>
    <t>Install valve and actuator</t>
  </si>
  <si>
    <t>28243981-10</t>
  </si>
  <si>
    <t>8.55.6.006</t>
  </si>
  <si>
    <t>Install oil strainers at actuator inlet pipework for testing/remove strainers after testing</t>
  </si>
  <si>
    <t>HPVS2 - 8.55.6</t>
  </si>
  <si>
    <t>HP Stop Valve No. 2</t>
  </si>
  <si>
    <t>28243981-11</t>
  </si>
  <si>
    <t>8.55.6.007</t>
  </si>
  <si>
    <t>28243981-12</t>
  </si>
  <si>
    <t>8.55.6.008</t>
  </si>
  <si>
    <t>28243981-13</t>
  </si>
  <si>
    <t>8.55.6.009</t>
  </si>
  <si>
    <t>28243981-14</t>
  </si>
  <si>
    <t>8.55.6.010</t>
  </si>
  <si>
    <t>28243981-15</t>
  </si>
  <si>
    <t>8.55.6.011</t>
  </si>
  <si>
    <t>28243981-16</t>
  </si>
  <si>
    <t>8.55.6.012</t>
  </si>
  <si>
    <t>HPVS3 - 8.55.6</t>
  </si>
  <si>
    <t>HP Stop Valve No. 3</t>
  </si>
  <si>
    <t>28243981-17</t>
  </si>
  <si>
    <t>8.55.6.013</t>
  </si>
  <si>
    <t>28243981-18</t>
  </si>
  <si>
    <t>8.55.6.014</t>
  </si>
  <si>
    <t>28243981-19</t>
  </si>
  <si>
    <t>8.55.6.015</t>
  </si>
  <si>
    <t>28243981-20</t>
  </si>
  <si>
    <t>8.55.6.016</t>
  </si>
  <si>
    <t>28243981-21</t>
  </si>
  <si>
    <t>8.55.6.017</t>
  </si>
  <si>
    <t>28243981-22</t>
  </si>
  <si>
    <t>8.55.6.018</t>
  </si>
  <si>
    <t>HPVS4 - 8.55.6</t>
  </si>
  <si>
    <t>HP Stop Valve No. 4</t>
  </si>
  <si>
    <t>28243981-23</t>
  </si>
  <si>
    <t>8.55.6.019</t>
  </si>
  <si>
    <t>28243981-24</t>
  </si>
  <si>
    <t>8.55.6.020</t>
  </si>
  <si>
    <t>28243981-25</t>
  </si>
  <si>
    <t>8.55.6.021</t>
  </si>
  <si>
    <t>28243981-26</t>
  </si>
  <si>
    <t>8.55.6.022</t>
  </si>
  <si>
    <t>28243981-27</t>
  </si>
  <si>
    <t>8.55.6.023</t>
  </si>
  <si>
    <t>28243981-28</t>
  </si>
  <si>
    <t>8.55.6.024</t>
  </si>
  <si>
    <t>HPVC1 - 8.55.6</t>
  </si>
  <si>
    <t>HP Control Valve No. 1</t>
  </si>
  <si>
    <t>28243981-29</t>
  </si>
  <si>
    <t>8.55.6.025</t>
  </si>
  <si>
    <t>28243981-30</t>
  </si>
  <si>
    <t>8.55.6.026</t>
  </si>
  <si>
    <t>28243981-31</t>
  </si>
  <si>
    <t>8.55.6.027</t>
  </si>
  <si>
    <t>Remove actuator spool and cam for inspection (check spool and cam conditon)</t>
  </si>
  <si>
    <t>28243981-32</t>
  </si>
  <si>
    <t>8.55.6.028</t>
  </si>
  <si>
    <t>28243981-33</t>
  </si>
  <si>
    <t>8.55.6.029</t>
  </si>
  <si>
    <t>28243981-34</t>
  </si>
  <si>
    <t>8.55.6.030</t>
  </si>
  <si>
    <t>28243981-35</t>
  </si>
  <si>
    <t>8.55.6.031</t>
  </si>
  <si>
    <t>HPVC2 - 8.55.6</t>
  </si>
  <si>
    <t>HP Control Valve No. 2</t>
  </si>
  <si>
    <t>28243981-36</t>
  </si>
  <si>
    <t>8.55.6.032</t>
  </si>
  <si>
    <t>28243981-37</t>
  </si>
  <si>
    <t>8.55.6.033</t>
  </si>
  <si>
    <t>28243981-38</t>
  </si>
  <si>
    <t>8.55.6.034</t>
  </si>
  <si>
    <t>28243981-39</t>
  </si>
  <si>
    <t>8.55.6.035</t>
  </si>
  <si>
    <t>28243981-40</t>
  </si>
  <si>
    <t>8.55.6.036</t>
  </si>
  <si>
    <t>28243981-41</t>
  </si>
  <si>
    <t>8.55.6.037</t>
  </si>
  <si>
    <t>28243981-42</t>
  </si>
  <si>
    <t>8.55.6.038</t>
  </si>
  <si>
    <t>HPVC3 - 8.55.6</t>
  </si>
  <si>
    <t>HP Control Valve No. 3</t>
  </si>
  <si>
    <t>28243981-43</t>
  </si>
  <si>
    <t>8.55.6.039</t>
  </si>
  <si>
    <t>28243981-44</t>
  </si>
  <si>
    <t>8.55.6.040</t>
  </si>
  <si>
    <t>28243981-45</t>
  </si>
  <si>
    <t>8.55.6.041</t>
  </si>
  <si>
    <t>28243981-46</t>
  </si>
  <si>
    <t>8.55.6.042</t>
  </si>
  <si>
    <t>28243981-47</t>
  </si>
  <si>
    <t>8.55.6.043</t>
  </si>
  <si>
    <t>28243981-48</t>
  </si>
  <si>
    <t>8.55.6.044</t>
  </si>
  <si>
    <t>28243981-49</t>
  </si>
  <si>
    <t>8.55.6.045</t>
  </si>
  <si>
    <t>HPVC4 - 8.55.6</t>
  </si>
  <si>
    <t>HP Control Valve No. 4</t>
  </si>
  <si>
    <t>28243981-50</t>
  </si>
  <si>
    <t>8.55.6.046</t>
  </si>
  <si>
    <t>28243981-51</t>
  </si>
  <si>
    <t>8.55.6.047</t>
  </si>
  <si>
    <t>28243981-52</t>
  </si>
  <si>
    <t>8.55.6.048</t>
  </si>
  <si>
    <t>28243981-53</t>
  </si>
  <si>
    <t>8.55.6.049</t>
  </si>
  <si>
    <t>28243981-54</t>
  </si>
  <si>
    <t>8.55.6.050</t>
  </si>
  <si>
    <t>28243981-55</t>
  </si>
  <si>
    <t>8.55.6.051</t>
  </si>
  <si>
    <t>28243981-56</t>
  </si>
  <si>
    <t>8.55.6.052</t>
  </si>
  <si>
    <t>MOP - 8.56.6</t>
  </si>
  <si>
    <t>Main Oil Pump (Refer to 7.6.1 in Scope of Works)</t>
  </si>
  <si>
    <t>28243985-02</t>
  </si>
  <si>
    <t>8.55.6.300</t>
  </si>
  <si>
    <t xml:space="preserve"> Inspect MOP pump coupling for wear.</t>
  </si>
  <si>
    <t>28243985-03</t>
  </si>
  <si>
    <t>8.55.6.301</t>
  </si>
  <si>
    <t xml:space="preserve"> Record insitue measurements of pump shaft run out, </t>
  </si>
  <si>
    <t>28243985-04</t>
  </si>
  <si>
    <t>8.55.6.302</t>
  </si>
  <si>
    <t>Check end float of pump thrust bearing.</t>
  </si>
  <si>
    <t>28243985-05</t>
  </si>
  <si>
    <t>8.55.6.303</t>
  </si>
  <si>
    <t>Off site machining of thrust bearing</t>
  </si>
  <si>
    <t>28243985-06</t>
  </si>
  <si>
    <t>8.55.6.304</t>
  </si>
  <si>
    <t>Measure and record run out of extension shaft and eccentricity disc. Check tightness of the bolting of the extension shaft.</t>
  </si>
  <si>
    <t>28243985-07</t>
  </si>
  <si>
    <t>8.55.6.305</t>
  </si>
  <si>
    <t>Replace with new complete pump if required</t>
  </si>
  <si>
    <t>Replace Main oil pump if required</t>
  </si>
  <si>
    <t>28243985-08</t>
  </si>
  <si>
    <t>8.55.6.306</t>
  </si>
  <si>
    <t>Modify the thrust bearing to new design "machine oil lead chamfer" if not already done.</t>
  </si>
  <si>
    <t>28243985-09</t>
  </si>
  <si>
    <t>8.55.6.307</t>
  </si>
  <si>
    <t>MOP coupling alignment</t>
  </si>
  <si>
    <t>OIL - 8.56.6</t>
  </si>
  <si>
    <t xml:space="preserve">Oil Labyrinths (1 - 4) </t>
  </si>
  <si>
    <t>28243986-27</t>
  </si>
  <si>
    <t>8.55.6.174</t>
  </si>
  <si>
    <t>Replace the brass sealing strips in the turbine bearing oil wipers where required</t>
  </si>
  <si>
    <t>TSUX - 8.56.6</t>
  </si>
  <si>
    <t>Turbine Auxiliary Oil Pumps (Two off AC and One DC Pumps)</t>
  </si>
  <si>
    <t>28243985-10</t>
  </si>
  <si>
    <t>8.55.6.308</t>
  </si>
  <si>
    <t>Remove motors and handover to Principal</t>
  </si>
  <si>
    <t>28243985-11</t>
  </si>
  <si>
    <t>8.55.6.309</t>
  </si>
  <si>
    <t>Check pump couplings, inspect pump endfloat condition</t>
  </si>
  <si>
    <t>28243985-46</t>
  </si>
  <si>
    <t>8.55.6.310</t>
  </si>
  <si>
    <t>Reinstall motors and align to pump</t>
  </si>
  <si>
    <t>TSBG -  8.56.6</t>
  </si>
  <si>
    <t>Turning Gear/ Barring Gear</t>
  </si>
  <si>
    <t>28243985-47</t>
  </si>
  <si>
    <t>8.55.6.311</t>
  </si>
  <si>
    <t>Check seal clearance prior to removal.</t>
  </si>
  <si>
    <t>28243986-57</t>
  </si>
  <si>
    <t>8.55.6.312</t>
  </si>
  <si>
    <t>Remove and inspect barring mechanism. (new design barring mechanism in place)</t>
  </si>
  <si>
    <t>28243985-48</t>
  </si>
  <si>
    <t>8.55.6.126</t>
  </si>
  <si>
    <t>Align and install barring mechanism.</t>
  </si>
  <si>
    <t>28243985-49</t>
  </si>
  <si>
    <t>8.55.6.175</t>
  </si>
  <si>
    <t>The Contractor to verify manual and automatic operation at the completion of Turbine assembly</t>
  </si>
  <si>
    <t>28243986-59</t>
  </si>
  <si>
    <t>8.55.6.176</t>
  </si>
  <si>
    <t>Inspect turning gear valve internals, remove actuator and hand over to Principal,  repair if necessary after blueing valve seats..</t>
  </si>
  <si>
    <t>ESV -  8.56.6</t>
  </si>
  <si>
    <t>Overhaul Emergency Shut Off Valve</t>
  </si>
  <si>
    <t>28243985-41</t>
  </si>
  <si>
    <t>8.55.6.128</t>
  </si>
  <si>
    <t>Remove and replace emergency shut off valve</t>
  </si>
  <si>
    <t>28243985-42</t>
  </si>
  <si>
    <t>8.55.6.129</t>
  </si>
  <si>
    <t>Clean, inspect, overahul and blue check emergency shut off valve</t>
  </si>
  <si>
    <t>28243985-43</t>
  </si>
  <si>
    <t>8.55.6.130</t>
  </si>
  <si>
    <t>Repair seat if damaged</t>
  </si>
  <si>
    <t>28243985-54</t>
  </si>
  <si>
    <t>TOV -  8.56.6</t>
  </si>
  <si>
    <t>Overhaul Turning Oil Valve</t>
  </si>
  <si>
    <t>8.55.6.131</t>
  </si>
  <si>
    <t>Remove inspect and replace turning oil valve</t>
  </si>
  <si>
    <t>28243985-51</t>
  </si>
  <si>
    <t>8.55.6.132</t>
  </si>
  <si>
    <t>Clean, inspect, blue check turning oil valve</t>
  </si>
  <si>
    <t>28243985-53</t>
  </si>
  <si>
    <t>8.55.6.133</t>
  </si>
  <si>
    <t>GSDV -  8.56.6</t>
  </si>
  <si>
    <t>Gland Steam Dump Valve</t>
  </si>
  <si>
    <t>28243985-56</t>
  </si>
  <si>
    <t>8.55.6.134</t>
  </si>
  <si>
    <t>Remove actuator</t>
  </si>
  <si>
    <t>28243985-57</t>
  </si>
  <si>
    <t>8.55.6.135</t>
  </si>
  <si>
    <t>Strip and inspect valve and carry out any repairs</t>
  </si>
  <si>
    <t>28243985-58</t>
  </si>
  <si>
    <t>8.55.6.136</t>
  </si>
  <si>
    <t>Assembly Valve and actutor</t>
  </si>
  <si>
    <t>GSCV -  8.56.6</t>
  </si>
  <si>
    <t>Gland Steam Control Valve</t>
  </si>
  <si>
    <t>28243985-59</t>
  </si>
  <si>
    <t>8.55.6.137</t>
  </si>
  <si>
    <t>28243985-60</t>
  </si>
  <si>
    <t>8.55.6.138</t>
  </si>
  <si>
    <t>28243985-61</t>
  </si>
  <si>
    <t>8.55.6.139</t>
  </si>
  <si>
    <t>BSEA -  8.56.6</t>
  </si>
  <si>
    <t>Bled Steam Extraction Actutors -S91, S86, S78 , S81.</t>
  </si>
  <si>
    <t>28243985-63</t>
  </si>
  <si>
    <t>8.55.6.140</t>
  </si>
  <si>
    <t xml:space="preserve">Disassemble Actutors </t>
  </si>
  <si>
    <t>28243986-60</t>
  </si>
  <si>
    <t>8.55.6.141</t>
  </si>
  <si>
    <t>Replace internal and external o-rings and Shaft seal</t>
  </si>
  <si>
    <t>28243985-65</t>
  </si>
  <si>
    <t>8.55.6.142</t>
  </si>
  <si>
    <t>Reassemble actuator</t>
  </si>
  <si>
    <t>In 2026 Overhaul, Commisioning Engineer to test operation of bled steam actuators.</t>
  </si>
  <si>
    <t>GOV - 8.55.6</t>
  </si>
  <si>
    <t xml:space="preserve"> Governing System (Hydraulic system refurbishment)</t>
  </si>
  <si>
    <t>28243985-67</t>
  </si>
  <si>
    <t>8.55.6.143</t>
  </si>
  <si>
    <t>Clean control oil inlet filters</t>
  </si>
  <si>
    <t>28243985-69</t>
  </si>
  <si>
    <t>8.55.6.144</t>
  </si>
  <si>
    <t>Inspect low vacuum trip device (replace diaphram)</t>
  </si>
  <si>
    <t>28243985-70</t>
  </si>
  <si>
    <t>8.55.6.145</t>
  </si>
  <si>
    <t>Check starting device followup pistons (do these require spares?)</t>
  </si>
  <si>
    <t>28243985-71</t>
  </si>
  <si>
    <t>8.55.6.146</t>
  </si>
  <si>
    <t>Over speed trip device,</t>
  </si>
  <si>
    <t>28243985-72</t>
  </si>
  <si>
    <t>8.55.6.147</t>
  </si>
  <si>
    <t>Electro-hydraulic convertor (EHC) Relpace spool and Bush</t>
  </si>
  <si>
    <t>28243985-73</t>
  </si>
  <si>
    <t>8.55.6.148</t>
  </si>
  <si>
    <t>Solenoid valves , 9 off</t>
  </si>
  <si>
    <t>28243985-74</t>
  </si>
  <si>
    <t>8.55.6.149</t>
  </si>
  <si>
    <t>Starting and load limit device (starting device)</t>
  </si>
  <si>
    <t>NRG/Contractor</t>
  </si>
  <si>
    <t>NRG Electricians Overhaul the electric motor</t>
  </si>
  <si>
    <t>28243985-75</t>
  </si>
  <si>
    <t>8.55.6.150</t>
  </si>
  <si>
    <t>Hydraulic speed governor (speeder gear)</t>
  </si>
  <si>
    <t>28243985-76</t>
  </si>
  <si>
    <t>8.55.6.151</t>
  </si>
  <si>
    <t>Thrust bearing trip (at no 2 bearing)</t>
  </si>
  <si>
    <t>28243985-77</t>
  </si>
  <si>
    <t>8.55.6.152</t>
  </si>
  <si>
    <t>Over speed trip mechanisms, 2 off on turbine shaft</t>
  </si>
  <si>
    <t>28243985-78</t>
  </si>
  <si>
    <t>8.55.6.153</t>
  </si>
  <si>
    <t>Follow up piston assembliesCheck integrity of HP and IP followup pistons (for control valving)</t>
  </si>
  <si>
    <t>28243985-79</t>
  </si>
  <si>
    <t>8.55.6.154</t>
  </si>
  <si>
    <t>Overspeed Micro switches</t>
  </si>
  <si>
    <t>NRG Electricians check the switches</t>
  </si>
  <si>
    <t>28243985-80</t>
  </si>
  <si>
    <t>8.55.6.155</t>
  </si>
  <si>
    <t>Clean &amp; inspect over-speed bolts &amp; trip mechanism</t>
  </si>
  <si>
    <t>28243985-64</t>
  </si>
  <si>
    <t>8.55.6.156</t>
  </si>
  <si>
    <t>Bled steam actuators S91, S86, S78, S81 replace seals and o-rings</t>
  </si>
  <si>
    <t>GOVC -  8.55.6</t>
  </si>
  <si>
    <t>Contractor Commissioning Engineer for Governor setup setup</t>
  </si>
  <si>
    <t>28243985-99</t>
  </si>
  <si>
    <t>8.55.6.157</t>
  </si>
  <si>
    <t>Setup Main Turbine and  Governor to correct OEM specification (check set up of control valve actuators, bled steam actuators), this standard and specification will be discussed with the Turbine Superintendent before work commences.</t>
  </si>
  <si>
    <t>V</t>
  </si>
  <si>
    <t>Setup control oil/governor system as soon as possible (while Contractor fitters are available for any changes to control actuators)</t>
  </si>
  <si>
    <t>JOS -  8.55.6</t>
  </si>
  <si>
    <t xml:space="preserve"> Jacking Oil System (Refer to 7.6.5 in Scope of Works)</t>
  </si>
  <si>
    <t>28243985-81</t>
  </si>
  <si>
    <t>8.55.6.159</t>
  </si>
  <si>
    <t>Remove clamps and inspect jacking oil pipework / manifold for rubbing and cracks. (this scope is to be an ITP and signed off before leaving site)</t>
  </si>
  <si>
    <t>SubContractor</t>
  </si>
  <si>
    <t>28243985-82</t>
  </si>
  <si>
    <t>8.55.6.160</t>
  </si>
  <si>
    <t>Replace small bore pipework with new (sub Contractor to work in with Contractor schedule)</t>
  </si>
  <si>
    <t>28243985-83</t>
  </si>
  <si>
    <t>8.55.6.161</t>
  </si>
  <si>
    <t>Strip and inspect manifold by-pass valve.</t>
  </si>
  <si>
    <t>28243985-84</t>
  </si>
  <si>
    <t>8.55.6.162</t>
  </si>
  <si>
    <t>Replace jacking oil hoses on all (7) bearings.</t>
  </si>
  <si>
    <t>28243985-86</t>
  </si>
  <si>
    <t>8.55.6.163</t>
  </si>
  <si>
    <t>IInstall new Jacking oil manifold supplied by the customer.</t>
  </si>
  <si>
    <t>28243985-87</t>
  </si>
  <si>
    <t>8.55.6.164</t>
  </si>
  <si>
    <t>Clean and replace jacking oil magnetic oil filter.</t>
  </si>
  <si>
    <t>MOT -  8.55.6</t>
  </si>
  <si>
    <t xml:space="preserve"> Main Oil Tank and Piping (Refer to 7.6.6 in Scope of Works)</t>
  </si>
  <si>
    <t>28243985-88</t>
  </si>
  <si>
    <t>8.55.6.165</t>
  </si>
  <si>
    <t>Remove and inspect vapour extraction fan internals and piping</t>
  </si>
  <si>
    <t>28243985-89</t>
  </si>
  <si>
    <t>8.55.6.166</t>
  </si>
  <si>
    <t xml:space="preserve">Visualy Inspect all inlet and oil take off pipes at tank for any leaks </t>
  </si>
  <si>
    <t>28243985-90</t>
  </si>
  <si>
    <t>8.55.6.168</t>
  </si>
  <si>
    <t xml:space="preserve">Drain main oil tank of oil into tankers supplied by NRG. Empty date to be supplied by Contractor </t>
  </si>
  <si>
    <t>28243985-92</t>
  </si>
  <si>
    <t>8.55.6.169</t>
  </si>
  <si>
    <t>Clean main oil tank (NRG to inspect after clean)</t>
  </si>
  <si>
    <t>28243985-93</t>
  </si>
  <si>
    <t>8.55.6.313</t>
  </si>
  <si>
    <t>Remove and inspect main drain valve at main oil tank before oil goes back in.</t>
  </si>
  <si>
    <t>28243986-61</t>
  </si>
  <si>
    <t>8.55.6.170</t>
  </si>
  <si>
    <t>Only if replacing oil, Refill main tank with new supplied turbine oil (fill date to be negoiated to match Contractor schedule)</t>
  </si>
  <si>
    <t>New oil being supplied, Contractor to remove oil and fill tank with new.</t>
  </si>
  <si>
    <t>28243985-94</t>
  </si>
  <si>
    <t>8.55.6.171</t>
  </si>
  <si>
    <t>Refill main oil tank with oil</t>
  </si>
  <si>
    <t>28244079-08</t>
  </si>
  <si>
    <t>8.55.6.172</t>
  </si>
  <si>
    <t>Install manufactured oil strainers for filtering turbine oil system during commissioning</t>
  </si>
  <si>
    <t>28243985-95</t>
  </si>
  <si>
    <t>8.55.6.314</t>
  </si>
  <si>
    <t>Overhaul turbine thrust oil assembly, replace change over valve orings.</t>
  </si>
  <si>
    <t>28243985-96</t>
  </si>
  <si>
    <t>8.55.6.173</t>
  </si>
  <si>
    <t>Contractor to set up stream liner for filtering oil for a minimun of 10 days before oil curciut is put into service</t>
  </si>
  <si>
    <t>00173164/00004</t>
  </si>
  <si>
    <t>EXC -  8.56.6</t>
  </si>
  <si>
    <t>Exciter Dismantling</t>
  </si>
  <si>
    <t>28243978-01</t>
  </si>
  <si>
    <t>8.56.6.001</t>
  </si>
  <si>
    <t>Remove exciter rotor, pilot exciter, coolers, bearing base, etc</t>
  </si>
  <si>
    <t>28243978-03</t>
  </si>
  <si>
    <t>8.56.6.002</t>
  </si>
  <si>
    <t>Hand over the Exciter rotor to Contractor</t>
  </si>
  <si>
    <t>8.56.6.003</t>
  </si>
  <si>
    <t>Inspection &amp; Testing</t>
  </si>
  <si>
    <t>28243978-04</t>
  </si>
  <si>
    <t>8.56.6.004</t>
  </si>
  <si>
    <t>Clean and pressure test air coolers</t>
  </si>
  <si>
    <t>28243978-05</t>
  </si>
  <si>
    <t>8.56.6.005</t>
  </si>
  <si>
    <t>Inspect and test coupling bolts, etc</t>
  </si>
  <si>
    <t>28243978-06</t>
  </si>
  <si>
    <t>8.56.6.006</t>
  </si>
  <si>
    <t xml:space="preserve">Overhaul excitor rotor and stator </t>
  </si>
  <si>
    <t>NRG Contractor</t>
  </si>
  <si>
    <t>28243978-17</t>
  </si>
  <si>
    <t>8.56.6.007</t>
  </si>
  <si>
    <t>Replace exciter rotor, Stator, pilot exciter, coolers, bearing base to correct specifications</t>
  </si>
  <si>
    <t>GEND  -  8.56.6</t>
  </si>
  <si>
    <t>Generator Minor Overhaul in 2026 only.</t>
  </si>
  <si>
    <t>8.56.6.008</t>
  </si>
  <si>
    <t>Dismantling</t>
  </si>
  <si>
    <t>28243979-47</t>
  </si>
  <si>
    <t>8.56.6.009</t>
  </si>
  <si>
    <t>Prepare the Generator and Stator for robotic inspection performed by Contractor.</t>
  </si>
  <si>
    <t>In 2026 Overhaul (Robotic inspection required for Minor Gen Overhaul)</t>
  </si>
  <si>
    <t>28243986-62</t>
  </si>
  <si>
    <t>8.56.6.010</t>
  </si>
  <si>
    <t xml:space="preserve">Remove Number 4 Bearing Pedestal Cover </t>
  </si>
  <si>
    <t>28243979-02</t>
  </si>
  <si>
    <t>8.56.6.011</t>
  </si>
  <si>
    <t>Remove bearings 5 &amp; 6 outer oil wipers and top support covers</t>
  </si>
  <si>
    <t>28243986-63</t>
  </si>
  <si>
    <t>8.56.6.012</t>
  </si>
  <si>
    <t>Remove No 4 bearing bridge and top half bearing</t>
  </si>
  <si>
    <t>28243979-04</t>
  </si>
  <si>
    <t>8.56.6.013</t>
  </si>
  <si>
    <t>Perform strip down measurements of bearings 5 &amp; 6 &amp; unbolt upper bearings</t>
  </si>
  <si>
    <t>28243979-05</t>
  </si>
  <si>
    <t>8.56.6.014</t>
  </si>
  <si>
    <t>Remove upper and lower bearings 5 &amp; 6</t>
  </si>
  <si>
    <t>28243986-67</t>
  </si>
  <si>
    <t>8.56.6.015</t>
  </si>
  <si>
    <t>Perform Bearing 4 Stripdown Measurements (Top lead check etc)</t>
  </si>
  <si>
    <t>28243979-07</t>
  </si>
  <si>
    <t>8.56.6.016</t>
  </si>
  <si>
    <t>Undo LP-Gen Coupling and perform Coupling Alignment</t>
  </si>
  <si>
    <t>28243979-08</t>
  </si>
  <si>
    <t>8.56.6.017</t>
  </si>
  <si>
    <t xml:space="preserve">Remove outer oil wipers and top support frame </t>
  </si>
  <si>
    <t>28243979-09</t>
  </si>
  <si>
    <t>8.56.6.018</t>
  </si>
  <si>
    <t>Remove H2 seal ring holders</t>
  </si>
  <si>
    <t>28243979-10</t>
  </si>
  <si>
    <t>8.56.6.019</t>
  </si>
  <si>
    <t>Remove bolts from inner labyrinths (EE) (EEnd only as we are only removing the top end shield for robot access)</t>
  </si>
  <si>
    <t>28243979-11</t>
  </si>
  <si>
    <t>8.56.6.020</t>
  </si>
  <si>
    <t>Reinstall bearings 5 &amp; 6 (lower halves)</t>
  </si>
  <si>
    <t>28243979-12</t>
  </si>
  <si>
    <t>8.56.6.021</t>
  </si>
  <si>
    <t>Remove EE upper end shield only(Rescue squad required)</t>
  </si>
  <si>
    <t>28243979-13</t>
  </si>
  <si>
    <t>8.56.6.022</t>
  </si>
  <si>
    <t>Support rotor at EE (Install bracket and sling)</t>
  </si>
  <si>
    <t>28243979-14</t>
  </si>
  <si>
    <t>8.56.6.023</t>
  </si>
  <si>
    <t>Remove bearing 6</t>
  </si>
  <si>
    <t>28243979-01</t>
  </si>
  <si>
    <t>8.56.6.024</t>
  </si>
  <si>
    <t>Unbolt and lower EE end shield (Floor removal policy to be in place)</t>
  </si>
  <si>
    <t>Check to see if this is required for robotic inspection (Contractor to determine scope)</t>
  </si>
  <si>
    <t>28243979-15</t>
  </si>
  <si>
    <t>8.56.6.026</t>
  </si>
  <si>
    <t>Remove bearing 5</t>
  </si>
  <si>
    <t>GENI - 8.56.6</t>
  </si>
  <si>
    <t>Inspection &amp; Repairs</t>
  </si>
  <si>
    <t>8.56.6.030</t>
  </si>
  <si>
    <t>Generator H2 Seals (Inspection &amp; Repairs)</t>
  </si>
  <si>
    <t>28243979-17</t>
  </si>
  <si>
    <t>8.56.6.031</t>
  </si>
  <si>
    <t>Clean H2 seal ring holders and measure (supply size to NRG)</t>
  </si>
  <si>
    <t>28243979-18</t>
  </si>
  <si>
    <t>8.56.6.032</t>
  </si>
  <si>
    <t>Rectify H2 Seal Holder (NRG)</t>
  </si>
  <si>
    <t>28243979-19</t>
  </si>
  <si>
    <t>8.56.6.033</t>
  </si>
  <si>
    <t>Machine new H2 seals</t>
  </si>
  <si>
    <t>NRG</t>
  </si>
  <si>
    <t>28243979-20</t>
  </si>
  <si>
    <t>8.56.6.034</t>
  </si>
  <si>
    <t>Measure new seal rings and check fittment</t>
  </si>
  <si>
    <t>28243979-21</t>
  </si>
  <si>
    <t>8.56.6.035</t>
  </si>
  <si>
    <t>Replace inner labyrinths seal strips if required</t>
  </si>
  <si>
    <t>28243979-22</t>
  </si>
  <si>
    <t>8.56.6.036</t>
  </si>
  <si>
    <t>Machine inner labyrinths (only inspecting EE inner labyrinth)</t>
  </si>
  <si>
    <t>28243979-23</t>
  </si>
  <si>
    <t>8.56.6.037</t>
  </si>
  <si>
    <t>Prepare new insulation package (Holes have to be drilled in OEM supplied gaskets)</t>
  </si>
  <si>
    <t>GENR - 8.56.6</t>
  </si>
  <si>
    <t>Generator Rotor Inspection and testing of H2 up shaft lead seals.</t>
  </si>
  <si>
    <t>28243979-03</t>
  </si>
  <si>
    <t>8.56.6.038</t>
  </si>
  <si>
    <t>When the Exciter shaft is removed, Contractor to perform air leak test on Generator shaft with pressure plare (report findings toNRG Engineering)</t>
  </si>
  <si>
    <t>GENE - 8.56.6</t>
  </si>
  <si>
    <t>Generator End Shields</t>
  </si>
  <si>
    <t>28243979-24</t>
  </si>
  <si>
    <t>8.56.6.048</t>
  </si>
  <si>
    <t>Clean end shields &amp; check mating surfaces (only perform this operation at EE)</t>
  </si>
  <si>
    <t>Clean for reinstallation of top end shield</t>
  </si>
  <si>
    <t>28243979-25</t>
  </si>
  <si>
    <t>8.56.6.049</t>
  </si>
  <si>
    <t>Blue Checking of Bottom Sphericals on Bearing's 5 &amp; 6</t>
  </si>
  <si>
    <t>GENRR - 8.56.6</t>
  </si>
  <si>
    <t>Robotic Inspection being performed on Stator and Rotor (Contractor to determine which tests are being performed by the Robot)</t>
  </si>
  <si>
    <t>28243979-26</t>
  </si>
  <si>
    <t>8.56.6.053</t>
  </si>
  <si>
    <t>Stator Fact Finding Visual Inspection</t>
  </si>
  <si>
    <t xml:space="preserve">NRG Engineering </t>
  </si>
  <si>
    <t>28243979-27</t>
  </si>
  <si>
    <t>8.56.6.054</t>
  </si>
  <si>
    <t>Stator inspection performed by Contractor engineering (Contractor to define scope being performed with Robot)</t>
  </si>
  <si>
    <t>GENW - 8.56.6</t>
  </si>
  <si>
    <t>Resin End Winding Treatment</t>
  </si>
  <si>
    <t>28243979-28</t>
  </si>
  <si>
    <t>8.56.6.055</t>
  </si>
  <si>
    <t>Preparation</t>
  </si>
  <si>
    <t>Only if required, has been completed on all units, as a variation.</t>
  </si>
  <si>
    <t>28243979-29</t>
  </si>
  <si>
    <t>8.56.6.056</t>
  </si>
  <si>
    <t>Cleaning Endwinding &amp; Mask areas</t>
  </si>
  <si>
    <t>28243979-30</t>
  </si>
  <si>
    <t>8.56.6.057</t>
  </si>
  <si>
    <t xml:space="preserve">Heating </t>
  </si>
  <si>
    <t>28243979-31</t>
  </si>
  <si>
    <t>8.56.6.058</t>
  </si>
  <si>
    <t>Treat overhang with Resin</t>
  </si>
  <si>
    <t>28243979-32</t>
  </si>
  <si>
    <t>8.56.6.059</t>
  </si>
  <si>
    <t>Finalise Works</t>
  </si>
  <si>
    <t>GENRP - 8.56.6</t>
  </si>
  <si>
    <t>28243979-34</t>
  </si>
  <si>
    <t>8.56.6.060</t>
  </si>
  <si>
    <t>1.Winding Resistance measurement – stator</t>
  </si>
  <si>
    <t>28243979-35</t>
  </si>
  <si>
    <t>8.56.6.061</t>
  </si>
  <si>
    <t xml:space="preserve">2.Insulation Test &amp; Polarization Index - stator  </t>
  </si>
  <si>
    <t>28243979-36</t>
  </si>
  <si>
    <t>8.56.6.062</t>
  </si>
  <si>
    <t>3.DC Controlled Over-voltage Tests - stator</t>
  </si>
  <si>
    <t>28243979-37</t>
  </si>
  <si>
    <t>8.56.6.063</t>
  </si>
  <si>
    <t>4.Dielectric Dissipation Factor and Capacitance testing - stator</t>
  </si>
  <si>
    <t>28243979-38</t>
  </si>
  <si>
    <t>8.56.6.064</t>
  </si>
  <si>
    <t>5.Partial Discharge testing of the stator winding (Test gear should be capable of carring out PD on phases at the same time)</t>
  </si>
  <si>
    <t>28243979-39</t>
  </si>
  <si>
    <t>8.56.6.065</t>
  </si>
  <si>
    <t>6.RSO testing - rotor</t>
  </si>
  <si>
    <t>28243979-40</t>
  </si>
  <si>
    <t>8.56.6.066</t>
  </si>
  <si>
    <t>7.Insulation Resistance – rotor</t>
  </si>
  <si>
    <t>28243979-41</t>
  </si>
  <si>
    <t>8.56.6.067</t>
  </si>
  <si>
    <t>8.Winding Resistance – rotor</t>
  </si>
  <si>
    <t>28243979-42</t>
  </si>
  <si>
    <t>8.56.6.070</t>
  </si>
  <si>
    <t>11.RTDs Test – (Resistance Test &amp; Insulation Test)</t>
  </si>
  <si>
    <t>28243979-43</t>
  </si>
  <si>
    <t>8.56.6.071</t>
  </si>
  <si>
    <t>12.Rotor Inspection</t>
  </si>
  <si>
    <t>28243979-44</t>
  </si>
  <si>
    <t>8.56.6.072</t>
  </si>
  <si>
    <t>13.Stator Inspection</t>
  </si>
  <si>
    <t>28243979-45</t>
  </si>
  <si>
    <t>8.56.6.073</t>
  </si>
  <si>
    <t>14.Slot Wedge Deflection Test</t>
  </si>
  <si>
    <t>28243979-46</t>
  </si>
  <si>
    <t>8.56.6.074</t>
  </si>
  <si>
    <t>15.Bump Test (Stator end windings)</t>
  </si>
  <si>
    <t>8.56.6.075</t>
  </si>
  <si>
    <t>16.Robotic inspection of Stator and rotor</t>
  </si>
  <si>
    <t>GENRA - 8.56.6</t>
  </si>
  <si>
    <t>Reassembly / Generator and Exciter</t>
  </si>
  <si>
    <t>28243979-06</t>
  </si>
  <si>
    <t>8.56.6.076</t>
  </si>
  <si>
    <t>Remove the clean condition tents &amp; store</t>
  </si>
  <si>
    <t>28243979-48</t>
  </si>
  <si>
    <t>8.56.6.086</t>
  </si>
  <si>
    <t>Insert bearings 5 &amp; 6 (lower halves)</t>
  </si>
  <si>
    <t>28243979-49</t>
  </si>
  <si>
    <t>8.56.6.087</t>
  </si>
  <si>
    <t>Install air gap seal (Exciter End)</t>
  </si>
  <si>
    <t>28243979-50</t>
  </si>
  <si>
    <t>8.56.6.088</t>
  </si>
  <si>
    <t>Install upper Ends Shield Exciter End (Rescue Squad)</t>
  </si>
  <si>
    <t>28243979-51</t>
  </si>
  <si>
    <t>8.56.6.092</t>
  </si>
  <si>
    <t>Install inner labyrinths (EE only as other end is not being disassembled)</t>
  </si>
  <si>
    <t>28243979-52</t>
  </si>
  <si>
    <t>8.56.6.093</t>
  </si>
  <si>
    <t>Seal Oil Flush</t>
  </si>
  <si>
    <t>28243979-53</t>
  </si>
  <si>
    <t>8.56.6.094</t>
  </si>
  <si>
    <t>Complete tightening of inner labyrinths</t>
  </si>
  <si>
    <t>EEnd only</t>
  </si>
  <si>
    <t>28243979-54</t>
  </si>
  <si>
    <t>8.56.6.095</t>
  </si>
  <si>
    <t>Pump sealant through end shields</t>
  </si>
  <si>
    <t>28243979-55</t>
  </si>
  <si>
    <t>8.56.6.096</t>
  </si>
  <si>
    <t>Remove bearings 5 &amp; 6</t>
  </si>
  <si>
    <t>28243979-56</t>
  </si>
  <si>
    <t>8.56.6.097</t>
  </si>
  <si>
    <t>Install H2 Seal (First Set)</t>
  </si>
  <si>
    <t>28243979-57</t>
  </si>
  <si>
    <t>8.56.6.098</t>
  </si>
  <si>
    <t>Install H2 Seal (Second Set)</t>
  </si>
  <si>
    <t>28243979-58</t>
  </si>
  <si>
    <t>8.56.6.101</t>
  </si>
  <si>
    <t>Complete bearing cover preliminary installation (For megger check)</t>
  </si>
  <si>
    <t>28243979-59</t>
  </si>
  <si>
    <t>8.56.6.102</t>
  </si>
  <si>
    <t>Air pressure test to OEM specifications</t>
  </si>
  <si>
    <t>BEA - 8.56.6</t>
  </si>
  <si>
    <t>Bearings (5,6 &amp; 7)</t>
  </si>
  <si>
    <t>28243986-23</t>
  </si>
  <si>
    <t>8.56.6.103</t>
  </si>
  <si>
    <t>Clean, inspect and carry out measurement survey on bearings</t>
  </si>
  <si>
    <t>8.56.6.104</t>
  </si>
  <si>
    <t>NDT Bearing's 5,6 &amp; 7</t>
  </si>
  <si>
    <t>28243986-24</t>
  </si>
  <si>
    <t>8.56.6.105</t>
  </si>
  <si>
    <t>Clean bearings after NDT testing</t>
  </si>
  <si>
    <t>OL - 8.56.6</t>
  </si>
  <si>
    <t>Oil Labyrinths (5,6 &amp; 7)</t>
  </si>
  <si>
    <t>28243986-25</t>
  </si>
  <si>
    <t>8.56.6.106</t>
  </si>
  <si>
    <t>Replace brass sealing strips where required</t>
  </si>
  <si>
    <t>8.56.6.107</t>
  </si>
  <si>
    <t>Machine oil labyrinths</t>
  </si>
  <si>
    <t>H2S - 8.56.6</t>
  </si>
  <si>
    <t>H2 Seal Oil System</t>
  </si>
  <si>
    <t>28243982-17</t>
  </si>
  <si>
    <t>8.56.6.108</t>
  </si>
  <si>
    <t>Inspect AC and DC oil pump non return valves.</t>
  </si>
  <si>
    <t>28243982-18</t>
  </si>
  <si>
    <t>8.56.6.109</t>
  </si>
  <si>
    <t>Remove AC / DC pump motors, for electricians to Overhaul</t>
  </si>
  <si>
    <t>28243982-19</t>
  </si>
  <si>
    <t>8.56.6.110</t>
  </si>
  <si>
    <t>Remove and replace AC and DC seal oil pumps with refurbished pumps.</t>
  </si>
  <si>
    <t>28243982-46</t>
  </si>
  <si>
    <t>8.56.6.111</t>
  </si>
  <si>
    <t xml:space="preserve">Replace and align AC and DC Overhauled electric motors </t>
  </si>
  <si>
    <t>28243982-20</t>
  </si>
  <si>
    <t>8.56.6.112</t>
  </si>
  <si>
    <t>Clean all strainers on seal oil system.</t>
  </si>
  <si>
    <t>28243982-21</t>
  </si>
  <si>
    <t>8.56.6.113</t>
  </si>
  <si>
    <t>Inspect and clean main and intermediate seal oil tanks.</t>
  </si>
  <si>
    <t>28243982-22</t>
  </si>
  <si>
    <t>8.56.6.114</t>
  </si>
  <si>
    <t>Inspect main seal oil float valve and seat.</t>
  </si>
  <si>
    <t>28243982-23</t>
  </si>
  <si>
    <t>8.56.6.115</t>
  </si>
  <si>
    <t>Inspect intermediate seal oil float valve and seat.</t>
  </si>
  <si>
    <t>28243982-24</t>
  </si>
  <si>
    <t>8.56.6.116</t>
  </si>
  <si>
    <t>Inspect and repair hydrogen drier isolation valves. – ST13-S501 and ST13-S507</t>
  </si>
  <si>
    <t>28243982-25</t>
  </si>
  <si>
    <t>8.56.6.117</t>
  </si>
  <si>
    <t>Inspect and repair hydrogen valves – ST11-S501, ST11-S502, ST11-S516, ST11-S517, ST11-S520, ST11-S521 and ST11-S525.S589</t>
  </si>
  <si>
    <t>28243982-26</t>
  </si>
  <si>
    <t>8.56.6.118</t>
  </si>
  <si>
    <t>Inspect and repair seal oil valves – SU11-S596, SU11-S597, SU11-598, SU11-S599, SU14 – S510,  SU14– S511, SU14 – S512, SU14 – S513, SU14 – S514, SU14 – S515.</t>
  </si>
  <si>
    <t>28243982-27</t>
  </si>
  <si>
    <t>8.56.6.119</t>
  </si>
  <si>
    <t>Inspect and repair hydrogen valves – ST12-S522, S521, S529.</t>
  </si>
  <si>
    <t>28243982-28</t>
  </si>
  <si>
    <t>8.56.6.120</t>
  </si>
  <si>
    <t>Inspect and repair CO2 relief valves, (hi and low pressure, replace with new)</t>
  </si>
  <si>
    <t>28243982-29</t>
  </si>
  <si>
    <t>8.56.6.121</t>
  </si>
  <si>
    <r>
      <t xml:space="preserve">Inspect and replace diaphragm on H2 analyzer regulator (large and small reg) </t>
    </r>
    <r>
      <rPr>
        <b/>
        <sz val="8"/>
        <color theme="1"/>
        <rFont val="Arial"/>
        <family val="2"/>
      </rPr>
      <t>Please measure for future diaphram sizing, report sizing to NRG Engineering</t>
    </r>
  </si>
  <si>
    <t>28243982-30</t>
  </si>
  <si>
    <t>8.56.6.122</t>
  </si>
  <si>
    <r>
      <t xml:space="preserve">Inspect and replace diaphrams in H2 fill station pressure reducer valves- </t>
    </r>
    <r>
      <rPr>
        <b/>
        <sz val="8"/>
        <color theme="1"/>
        <rFont val="Arial"/>
        <family val="2"/>
      </rPr>
      <t>3 off (ST12- N523, N524, N531). Please measure for future diaphram sizing, report sizes of diaphram to NRG Engineering.</t>
    </r>
  </si>
  <si>
    <t>28243982-31</t>
  </si>
  <si>
    <t>8.56.6.123</t>
  </si>
  <si>
    <t>Replace all seal oil pipework gaskets.</t>
  </si>
  <si>
    <t>28243982-32</t>
  </si>
  <si>
    <t>8.56.6.124</t>
  </si>
  <si>
    <t>Inspect generator liquid detection sight glass and replace gaskets.</t>
  </si>
  <si>
    <t>28243982-33</t>
  </si>
  <si>
    <t>8.56.6.125</t>
  </si>
  <si>
    <t>Inspect liquid level detection valves SP11-533, SP11-531, SP11-532, SP11-539, SP11-501, SP11-534</t>
  </si>
  <si>
    <t>28243982-34</t>
  </si>
  <si>
    <t>8.56.6.126</t>
  </si>
  <si>
    <t>Inspect and replace seal oil cooler top “O” rings. Pressure test seal oil coolers to specification.</t>
  </si>
  <si>
    <t>28243982-35</t>
  </si>
  <si>
    <t>8.56.6.127</t>
  </si>
  <si>
    <t>Inspect, flush and clean all hydrogen vent pipework.</t>
  </si>
  <si>
    <t>28243982-36</t>
  </si>
  <si>
    <t>8.56.6.128</t>
  </si>
  <si>
    <t>Visually inspect all hydrogen pipework, manifold and clamps to check for wear or leaks.</t>
  </si>
  <si>
    <t>28243982-37</t>
  </si>
  <si>
    <t>8.56.6.129</t>
  </si>
  <si>
    <t>Inspect, flush and clean bearing vapour extraction fan (AVR floor).</t>
  </si>
  <si>
    <t>28243982-38</t>
  </si>
  <si>
    <t>8.56.6.130</t>
  </si>
  <si>
    <t>Replace all valves locking spacers and fixing chains.</t>
  </si>
  <si>
    <t>28243982-39</t>
  </si>
  <si>
    <t>8.56.6.131</t>
  </si>
  <si>
    <t>Change out A and B valves with Overhauled valves provided from NRG store</t>
  </si>
  <si>
    <t>28244079-07</t>
  </si>
  <si>
    <t>8.56.6.132</t>
  </si>
  <si>
    <t>Commission A and B valves to correct pressure settings.</t>
  </si>
  <si>
    <t>HSOP - 8.56.6</t>
  </si>
  <si>
    <t>Hydrogen Seal Oil Plant – After Oil Flush</t>
  </si>
  <si>
    <t>28243982-49</t>
  </si>
  <si>
    <t>8.56.6.133</t>
  </si>
  <si>
    <t> Inspect main seal oil float valve and seat (have NRG  Turbine inspector inspect seat)</t>
  </si>
  <si>
    <t>28243982-50</t>
  </si>
  <si>
    <t>8.56.6.134</t>
  </si>
  <si>
    <t> Inspect intermediate seal oil float valve and seat for debris(have NRG turbine inspector inspect seat)</t>
  </si>
  <si>
    <t>TBCD - 8.55.6</t>
  </si>
  <si>
    <t xml:space="preserve"> Turbine Bearings &amp; Couplings Disassembly</t>
  </si>
  <si>
    <t>8.55.6.180</t>
  </si>
  <si>
    <t>Disconnect and remove the instrumentation from the turbine bearings pedestals</t>
  </si>
  <si>
    <t>28243986-04</t>
  </si>
  <si>
    <t>8.55.6.181</t>
  </si>
  <si>
    <t>Remove the bearing pedestal covers from bearings 1, 2, 3 &amp; 4 including oil labyrinths</t>
  </si>
  <si>
    <t>8.55.6.182</t>
  </si>
  <si>
    <t>Disconnect and remove the internal instrumentation from the bearings</t>
  </si>
  <si>
    <t>28243986-06</t>
  </si>
  <si>
    <t>8.55.6.183</t>
  </si>
  <si>
    <t>Measure the thrust bearing axial clearance</t>
  </si>
  <si>
    <t>28243986-08</t>
  </si>
  <si>
    <t>8.55.6.184</t>
  </si>
  <si>
    <t>Remove the bearing bridges and top halves of bearings 1, 2, 3 &amp; 4</t>
  </si>
  <si>
    <t>28243986-07</t>
  </si>
  <si>
    <t>8.55.6.185</t>
  </si>
  <si>
    <t xml:space="preserve">Record axial &amp; radial positions of the turbine rotors to the turbine casings and bearing pedestals prior to bearing removal </t>
  </si>
  <si>
    <t>28243986-11</t>
  </si>
  <si>
    <t>8.55.6.186</t>
  </si>
  <si>
    <t xml:space="preserve">Measure and record HP &amp; IP casing to rotor roll out check </t>
  </si>
  <si>
    <t>Only if required</t>
  </si>
  <si>
    <t>28243986-10</t>
  </si>
  <si>
    <t>8.55.6.187</t>
  </si>
  <si>
    <t>Remove lower thrust bearing and remove thrust pads</t>
  </si>
  <si>
    <t>28243986-13</t>
  </si>
  <si>
    <t>8.55.6.188</t>
  </si>
  <si>
    <t>Install thrust bearing and perform axial clearance checks on HP/IP rotors coupled</t>
  </si>
  <si>
    <t>28243986-12</t>
  </si>
  <si>
    <t>8.55.6.189</t>
  </si>
  <si>
    <t>Reinstall with 2 thrust pads fitted</t>
  </si>
  <si>
    <t>28243986-14</t>
  </si>
  <si>
    <t>8.55.6.191</t>
  </si>
  <si>
    <t>Perform Stub Shaft Runout</t>
  </si>
  <si>
    <t>28243986-15</t>
  </si>
  <si>
    <t>8.55.6.192</t>
  </si>
  <si>
    <t>Remove windage plates from all couplings</t>
  </si>
  <si>
    <t>TBCI - 8.55.6</t>
  </si>
  <si>
    <t>Inspection</t>
  </si>
  <si>
    <t>28243986-18</t>
  </si>
  <si>
    <t>8.55.6.195</t>
  </si>
  <si>
    <t>Remove all lower turbine bearings for visual inspection on disessembly</t>
  </si>
  <si>
    <t>8.55.6.196</t>
  </si>
  <si>
    <t>NDT all bearings and thrust pads</t>
  </si>
  <si>
    <t>28243986-19</t>
  </si>
  <si>
    <t>8.55.6.197</t>
  </si>
  <si>
    <t>Clean, visually inspect and measure the bearing clearances of bearings by lead check only on dissemessbly (1 - 4 bearings) and thrust pads</t>
  </si>
  <si>
    <t>28243986-65</t>
  </si>
  <si>
    <t>8.55.6.198</t>
  </si>
  <si>
    <t>Replace the brass sealing strips on oil wipers only as required</t>
  </si>
  <si>
    <t>allow for 6 off oil wipers</t>
  </si>
  <si>
    <t>8.55.6.199</t>
  </si>
  <si>
    <t>Machine oil labyrinths to nominated sizes as required</t>
  </si>
  <si>
    <t>ABG - 8.55.6</t>
  </si>
  <si>
    <t>Automatic barring gear (if not already fitted)</t>
  </si>
  <si>
    <t>28243985-38</t>
  </si>
  <si>
    <t>8.55.6.200</t>
  </si>
  <si>
    <t xml:space="preserve">Remove and inspect mechanical barring mechanism </t>
  </si>
  <si>
    <t>28243985-91</t>
  </si>
  <si>
    <t>8.55.6.201</t>
  </si>
  <si>
    <t>Contractor Test fit new modifided  barring gear</t>
  </si>
  <si>
    <t>28243986-58</t>
  </si>
  <si>
    <t>8.55.6.202</t>
  </si>
  <si>
    <t>Install new automatic  barring gear when no.3 bearing lid is on for final time.</t>
  </si>
  <si>
    <t>BPFB -  8.55.6</t>
  </si>
  <si>
    <t xml:space="preserve"> Bearing pedestal Foundation bolt hydraulic tensioning, Assembly</t>
  </si>
  <si>
    <t>28243986-29</t>
  </si>
  <si>
    <t>8.55.6.101</t>
  </si>
  <si>
    <t>Install all the lower turbine bearings and connect  lift oil hoses</t>
  </si>
  <si>
    <t>28243986-33</t>
  </si>
  <si>
    <t>8.55.6.102</t>
  </si>
  <si>
    <t>Tighten all couplings and perform concentricity checks</t>
  </si>
  <si>
    <t>28243986-34</t>
  </si>
  <si>
    <t>8.55.6.103</t>
  </si>
  <si>
    <t>Measure and record all the bearing pedestal radial and axial references (on completion of casing rollouts</t>
  </si>
  <si>
    <t>28243986-35</t>
  </si>
  <si>
    <t>8.55.6.104</t>
  </si>
  <si>
    <t>Install and set the oil wipers</t>
  </si>
  <si>
    <t>28243986-42</t>
  </si>
  <si>
    <t>8.55.6.105</t>
  </si>
  <si>
    <t>Assemble the bearings covers for oil flushing</t>
  </si>
  <si>
    <t>28243986-43</t>
  </si>
  <si>
    <t>8.55.6.106</t>
  </si>
  <si>
    <t>Perform oil flushing with strainers on flushing pipes</t>
  </si>
  <si>
    <t>Utilize best method of oil flushing for Unit 2 in 2026</t>
  </si>
  <si>
    <t>28243986-44</t>
  </si>
  <si>
    <t>8.55.6.107</t>
  </si>
  <si>
    <t>Final assembly of turbine bearings &amp; bearing bridges including clearance checks</t>
  </si>
  <si>
    <t>8.55.6.108</t>
  </si>
  <si>
    <t>Set up the differential expansion devices and internal instrumentation</t>
  </si>
  <si>
    <t>28243986-46</t>
  </si>
  <si>
    <t>8.55.6.109</t>
  </si>
  <si>
    <t>Final assembly of the bearing pedestals</t>
  </si>
  <si>
    <t>8.55.6.110</t>
  </si>
  <si>
    <t>Refit the external instrumentation</t>
  </si>
  <si>
    <t>FCA -  8.55.6</t>
  </si>
  <si>
    <t>Final Coupling Alignments &amp; Bearing Closure</t>
  </si>
  <si>
    <t>8.55.6.111</t>
  </si>
  <si>
    <t>Pressurise Generator for LP- Gen Coupling alignment- 100Kpa-350Kpa</t>
  </si>
  <si>
    <t>28243986-37</t>
  </si>
  <si>
    <t>8.55.6.112</t>
  </si>
  <si>
    <t>28243986-38</t>
  </si>
  <si>
    <t>8.55.6.113</t>
  </si>
  <si>
    <t>Perform coupling alignment readings of LP to Generator Rotor</t>
  </si>
  <si>
    <t>28243986-39</t>
  </si>
  <si>
    <t>8.55.6.114</t>
  </si>
  <si>
    <t>Adjust stator to correct alignment</t>
  </si>
  <si>
    <t>28243986-66</t>
  </si>
  <si>
    <t>8.55.6.115</t>
  </si>
  <si>
    <t>Prepare bearings for oil flushing</t>
  </si>
  <si>
    <t>28243979-68</t>
  </si>
  <si>
    <t>8.55.6.116</t>
  </si>
  <si>
    <t>Oil flush seal oil system</t>
  </si>
  <si>
    <t>28243978-20</t>
  </si>
  <si>
    <t>8.55.6.117</t>
  </si>
  <si>
    <t>Reinstall exciter Rotor</t>
  </si>
  <si>
    <t>28243986-40</t>
  </si>
  <si>
    <t>8.55.6.118</t>
  </si>
  <si>
    <t>Perform Gen-Exc Coupling Alignment, tighten coupling bolts and perform concentricity check, install windage plates.</t>
  </si>
  <si>
    <t>28243986-41</t>
  </si>
  <si>
    <t>8.55.6.119</t>
  </si>
  <si>
    <t>Air pressure test (24 hour pressure test)</t>
  </si>
  <si>
    <t>8.55.6.120</t>
  </si>
  <si>
    <t>Differential expansion set up (NRG)</t>
  </si>
  <si>
    <t>28243986-54</t>
  </si>
  <si>
    <t>8.55.6.121</t>
  </si>
  <si>
    <t>Fully assemble bearings &amp; covers</t>
  </si>
  <si>
    <t>8.55.6.122</t>
  </si>
  <si>
    <t>Refit external instrumentation</t>
  </si>
  <si>
    <t>28243986-55</t>
  </si>
  <si>
    <t>8.55.6.123</t>
  </si>
  <si>
    <t>Prepare No. 5 and 6 bearings for oil flushing</t>
  </si>
  <si>
    <t>28243986-56</t>
  </si>
  <si>
    <t>8.55.6.124</t>
  </si>
  <si>
    <t>Prepare No.7 bearing for oil flushing</t>
  </si>
  <si>
    <t>28243978-18</t>
  </si>
  <si>
    <t>8.55.6.125</t>
  </si>
  <si>
    <t>Install, pilot exciter, coolers, etc.</t>
  </si>
  <si>
    <t>General</t>
  </si>
  <si>
    <t>TOTAL hrs</t>
  </si>
  <si>
    <t>H</t>
  </si>
  <si>
    <t>Header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</si>
</sst>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quot;$&quot;#,##0.00"/>
    <numFmt numFmtId="165" formatCode="#,##0.00_ ;\-#,##0.00\ "/>
  </numFmts>
  <fonts count="26" x14ac:knownFonts="1">
    <font>
      <sz val="11"/>
      <color theme="1"/>
      <name val="Calibri"/>
      <family val="2"/>
      <scheme val="minor"/>
    </font>
    <font>
      <sz val="11"/>
      <color theme="1"/>
      <name val="Calibri"/>
      <family val="2"/>
      <scheme val="minor"/>
    </font>
    <font>
      <sz val="10"/>
      <name val="Arial"/>
      <family val="2"/>
    </font>
    <font>
      <b/>
      <sz val="12"/>
      <name val="Calibri"/>
      <family val="2"/>
      <scheme val="minor"/>
    </font>
    <font>
      <sz val="12"/>
      <name val="Calibri"/>
      <family val="2"/>
      <scheme val="minor"/>
    </font>
    <font>
      <b/>
      <sz val="12"/>
      <color rgb="FFFF0000"/>
      <name val="Calibri"/>
      <family val="2"/>
      <scheme val="minor"/>
    </font>
    <font>
      <b/>
      <sz val="12"/>
      <color rgb="FF7030A0"/>
      <name val="Calibri"/>
      <family val="2"/>
      <scheme val="minor"/>
    </font>
    <font>
      <b/>
      <sz val="10"/>
      <name val="Calibri"/>
      <family val="2"/>
      <scheme val="minor"/>
    </font>
    <font>
      <sz val="10"/>
      <color theme="1"/>
      <name val="Arial"/>
      <family val="2"/>
    </font>
    <font>
      <b/>
      <sz val="10"/>
      <name val="Arial"/>
      <family val="2"/>
    </font>
    <font>
      <b/>
      <sz val="10"/>
      <color theme="1"/>
      <name val="Calibri"/>
      <family val="2"/>
      <scheme val="minor"/>
    </font>
    <font>
      <sz val="10"/>
      <name val="Calibri"/>
      <family val="2"/>
      <scheme val="minor"/>
    </font>
    <font>
      <sz val="10"/>
      <name val="Calibri"/>
      <family val="2"/>
    </font>
    <font>
      <sz val="11"/>
      <name val="Arial"/>
      <family val="2"/>
    </font>
    <font>
      <sz val="8"/>
      <name val="Arial"/>
      <family val="2"/>
    </font>
    <font>
      <sz val="8"/>
      <color theme="1"/>
      <name val="Arial"/>
      <family val="2"/>
    </font>
    <font>
      <b/>
      <sz val="8"/>
      <name val="Arial"/>
      <family val="2"/>
    </font>
    <font>
      <b/>
      <sz val="8"/>
      <color theme="1"/>
      <name val="Arial"/>
      <family val="2"/>
    </font>
    <font>
      <sz val="8"/>
      <color rgb="FF000000"/>
      <name val="Arial"/>
      <family val="2"/>
    </font>
    <font>
      <strike/>
      <sz val="8"/>
      <color theme="1"/>
      <name val="Arial"/>
      <family val="2"/>
    </font>
    <font>
      <strike/>
      <sz val="8"/>
      <name val="Arial"/>
      <family val="2"/>
    </font>
    <font>
      <b/>
      <sz val="8"/>
      <color rgb="FF000000"/>
      <name val="Arial"/>
      <family val="2"/>
    </font>
    <font>
      <sz val="11"/>
      <color theme="1"/>
      <name val="Arial"/>
      <family val="2"/>
    </font>
    <font>
      <i/>
      <sz val="8"/>
      <name val="Arial"/>
      <family val="2"/>
    </font>
    <font>
      <b/>
      <sz val="9"/>
      <color indexed="81"/>
      <name val="Tahoma"/>
      <family val="2"/>
    </font>
    <font>
      <sz val="9"/>
      <color indexed="81"/>
      <name val="Tahoma"/>
      <family val="2"/>
    </font>
  </fonts>
  <fills count="11">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indexed="44"/>
        <bgColor indexed="64"/>
      </patternFill>
    </fill>
    <fill>
      <patternFill patternType="solid">
        <fgColor rgb="FF99CCFF"/>
        <bgColor indexed="64"/>
      </patternFill>
    </fill>
    <fill>
      <patternFill patternType="solid">
        <fgColor rgb="FFFFCC99"/>
        <bgColor indexed="64"/>
      </patternFill>
    </fill>
    <fill>
      <patternFill patternType="solid">
        <fgColor rgb="FFFFFFFF"/>
        <bgColor indexed="64"/>
      </patternFill>
    </fill>
    <fill>
      <patternFill patternType="solid">
        <fgColor rgb="FFFFFF00"/>
        <bgColor indexed="64"/>
      </patternFill>
    </fill>
    <fill>
      <patternFill patternType="solid">
        <fgColor theme="5" tint="0.59999389629810485"/>
        <bgColor indexed="64"/>
      </patternFill>
    </fill>
    <fill>
      <patternFill patternType="solid">
        <fgColor theme="2"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B1BBCC"/>
      </left>
      <right/>
      <top style="thin">
        <color rgb="FFB1BBCC"/>
      </top>
      <bottom style="thin">
        <color rgb="FFB1BBCC"/>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hair">
        <color indexed="64"/>
      </top>
      <bottom style="hair">
        <color indexed="64"/>
      </bottom>
      <diagonal/>
    </border>
  </borders>
  <cellStyleXfs count="8">
    <xf numFmtId="0" fontId="0" fillId="0" borderId="0"/>
    <xf numFmtId="44" fontId="1"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8" fillId="0" borderId="0"/>
    <xf numFmtId="0" fontId="2" fillId="0" borderId="0"/>
    <xf numFmtId="0" fontId="1" fillId="0" borderId="0"/>
  </cellStyleXfs>
  <cellXfs count="143">
    <xf numFmtId="0" fontId="0" fillId="0" borderId="0" xfId="0"/>
    <xf numFmtId="0" fontId="3" fillId="2" borderId="1" xfId="2" applyFont="1" applyFill="1" applyBorder="1"/>
    <xf numFmtId="0" fontId="3" fillId="2" borderId="2" xfId="2" applyFont="1" applyFill="1" applyBorder="1"/>
    <xf numFmtId="0" fontId="4" fillId="3" borderId="0" xfId="2" applyFont="1" applyFill="1" applyAlignment="1">
      <alignment horizontal="center"/>
    </xf>
    <xf numFmtId="0" fontId="3" fillId="2" borderId="0" xfId="2" applyFont="1" applyFill="1"/>
    <xf numFmtId="0" fontId="4" fillId="0" borderId="0" xfId="2" applyFont="1"/>
    <xf numFmtId="0" fontId="3" fillId="2" borderId="0" xfId="2" applyFont="1" applyFill="1" applyAlignment="1">
      <alignment horizontal="center"/>
    </xf>
    <xf numFmtId="0" fontId="3" fillId="4" borderId="1" xfId="2" applyFont="1" applyFill="1" applyBorder="1" applyAlignment="1">
      <alignment horizontal="left" vertical="center"/>
    </xf>
    <xf numFmtId="0" fontId="3" fillId="4" borderId="1" xfId="2" applyFont="1" applyFill="1" applyBorder="1" applyAlignment="1">
      <alignment horizontal="center" vertical="center" wrapText="1"/>
    </xf>
    <xf numFmtId="0" fontId="3" fillId="5" borderId="1" xfId="2" applyFont="1" applyFill="1" applyBorder="1" applyAlignment="1">
      <alignment horizontal="center" vertical="center" wrapText="1"/>
    </xf>
    <xf numFmtId="0" fontId="4" fillId="3" borderId="0" xfId="2" applyFont="1" applyFill="1" applyAlignment="1">
      <alignment vertical="center"/>
    </xf>
    <xf numFmtId="44" fontId="3" fillId="4" borderId="3" xfId="3" applyFont="1" applyFill="1" applyBorder="1" applyAlignment="1">
      <alignment horizontal="center" vertical="center" wrapText="1"/>
    </xf>
    <xf numFmtId="44" fontId="3" fillId="4" borderId="1" xfId="3" applyFont="1" applyFill="1" applyBorder="1" applyAlignment="1">
      <alignment horizontal="center" vertical="center" wrapText="1"/>
    </xf>
    <xf numFmtId="0" fontId="4" fillId="0" borderId="0" xfId="2" applyFont="1" applyAlignment="1">
      <alignment vertical="center"/>
    </xf>
    <xf numFmtId="2" fontId="7" fillId="6" borderId="1" xfId="4" applyNumberFormat="1" applyFont="1" applyFill="1" applyBorder="1" applyAlignment="1">
      <alignment horizontal="left" vertical="center"/>
    </xf>
    <xf numFmtId="1" fontId="7" fillId="6" borderId="1" xfId="4" applyNumberFormat="1" applyFont="1" applyFill="1" applyBorder="1" applyAlignment="1">
      <alignment horizontal="left" vertical="center"/>
    </xf>
    <xf numFmtId="2" fontId="7" fillId="6" borderId="4" xfId="4" applyNumberFormat="1" applyFont="1" applyFill="1" applyBorder="1" applyAlignment="1">
      <alignment horizontal="left" vertical="center"/>
    </xf>
    <xf numFmtId="0" fontId="9" fillId="6" borderId="4" xfId="5" applyFont="1" applyFill="1" applyBorder="1" applyAlignment="1">
      <alignment horizontal="left" vertical="center" wrapText="1"/>
    </xf>
    <xf numFmtId="0" fontId="10" fillId="6" borderId="4" xfId="5" applyFont="1" applyFill="1" applyBorder="1" applyAlignment="1">
      <alignment horizontal="center" vertical="center"/>
    </xf>
    <xf numFmtId="0" fontId="7" fillId="6" borderId="4" xfId="5" applyFont="1" applyFill="1" applyBorder="1" applyAlignment="1">
      <alignment horizontal="center" vertical="center"/>
    </xf>
    <xf numFmtId="0" fontId="7" fillId="6" borderId="4" xfId="4" applyFont="1" applyFill="1" applyBorder="1" applyAlignment="1">
      <alignment horizontal="center" vertical="center"/>
    </xf>
    <xf numFmtId="44" fontId="11" fillId="3" borderId="0" xfId="3" applyFont="1" applyFill="1" applyBorder="1" applyAlignment="1">
      <alignment horizontal="center" vertical="center"/>
    </xf>
    <xf numFmtId="164" fontId="7" fillId="6" borderId="4" xfId="4" applyNumberFormat="1" applyFont="1" applyFill="1" applyBorder="1" applyAlignment="1">
      <alignment horizontal="center" vertical="center"/>
    </xf>
    <xf numFmtId="44" fontId="7" fillId="6" borderId="4" xfId="3" applyFont="1" applyFill="1" applyBorder="1" applyAlignment="1">
      <alignment horizontal="center" vertical="center"/>
    </xf>
    <xf numFmtId="44" fontId="11" fillId="6" borderId="5" xfId="3" applyFont="1" applyFill="1" applyBorder="1" applyAlignment="1">
      <alignment horizontal="center" vertical="center"/>
    </xf>
    <xf numFmtId="0" fontId="11" fillId="0" borderId="0" xfId="2" applyFont="1" applyAlignment="1">
      <alignment vertical="center"/>
    </xf>
    <xf numFmtId="2" fontId="11" fillId="6" borderId="4" xfId="3" applyNumberFormat="1" applyFont="1" applyFill="1" applyBorder="1" applyAlignment="1">
      <alignment horizontal="center" vertical="center"/>
    </xf>
    <xf numFmtId="44" fontId="11" fillId="6" borderId="4" xfId="3" applyFont="1" applyFill="1" applyBorder="1" applyAlignment="1">
      <alignment horizontal="center" vertical="center"/>
    </xf>
    <xf numFmtId="165" fontId="11" fillId="6" borderId="4" xfId="3" applyNumberFormat="1" applyFont="1" applyFill="1" applyBorder="1" applyAlignment="1">
      <alignment horizontal="center" vertical="center"/>
    </xf>
    <xf numFmtId="9" fontId="11" fillId="6" borderId="4" xfId="3" applyNumberFormat="1" applyFont="1" applyFill="1" applyBorder="1" applyAlignment="1">
      <alignment horizontal="center" vertical="center"/>
    </xf>
    <xf numFmtId="10" fontId="11" fillId="6" borderId="4" xfId="3" applyNumberFormat="1" applyFont="1" applyFill="1" applyBorder="1" applyAlignment="1">
      <alignment horizontal="center" vertical="center"/>
    </xf>
    <xf numFmtId="164" fontId="12" fillId="6" borderId="4" xfId="6" applyNumberFormat="1" applyFont="1" applyFill="1" applyBorder="1" applyAlignment="1">
      <alignment vertical="center"/>
    </xf>
    <xf numFmtId="0" fontId="11" fillId="6" borderId="0" xfId="2" applyFont="1" applyFill="1" applyAlignment="1">
      <alignment vertical="center"/>
    </xf>
    <xf numFmtId="0" fontId="0" fillId="0" borderId="1" xfId="0" applyBorder="1"/>
    <xf numFmtId="0" fontId="13" fillId="0" borderId="1" xfId="2" applyFont="1" applyBorder="1" applyAlignment="1">
      <alignment vertical="center"/>
    </xf>
    <xf numFmtId="0" fontId="14" fillId="0" borderId="1" xfId="2" applyFont="1" applyBorder="1" applyAlignment="1">
      <alignment horizontal="left" vertical="center"/>
    </xf>
    <xf numFmtId="0" fontId="14" fillId="7" borderId="1" xfId="5" applyFont="1" applyFill="1" applyBorder="1" applyAlignment="1">
      <alignment horizontal="left" vertical="center" wrapText="1"/>
    </xf>
    <xf numFmtId="0" fontId="15" fillId="0" borderId="1" xfId="5" applyFont="1" applyBorder="1" applyAlignment="1">
      <alignment horizontal="center" vertical="center"/>
    </xf>
    <xf numFmtId="0" fontId="14" fillId="0" borderId="1" xfId="5" applyFont="1" applyBorder="1" applyAlignment="1">
      <alignment horizontal="center" vertical="center"/>
    </xf>
    <xf numFmtId="0" fontId="14" fillId="0" borderId="1" xfId="2" applyFont="1" applyBorder="1" applyAlignment="1">
      <alignment vertical="center"/>
    </xf>
    <xf numFmtId="0" fontId="15" fillId="3" borderId="1" xfId="5" applyFont="1" applyFill="1" applyBorder="1" applyAlignment="1">
      <alignment vertical="center" wrapText="1"/>
    </xf>
    <xf numFmtId="0" fontId="14" fillId="3" borderId="1" xfId="2" applyFont="1" applyFill="1" applyBorder="1" applyAlignment="1">
      <alignment vertical="center"/>
    </xf>
    <xf numFmtId="44" fontId="14" fillId="3" borderId="1" xfId="3" applyFont="1" applyFill="1" applyBorder="1" applyAlignment="1">
      <alignment horizontal="center" vertical="center"/>
    </xf>
    <xf numFmtId="2" fontId="14" fillId="3" borderId="1" xfId="3" applyNumberFormat="1" applyFont="1" applyFill="1" applyBorder="1" applyAlignment="1">
      <alignment horizontal="center" vertical="center"/>
    </xf>
    <xf numFmtId="165" fontId="14" fillId="3" borderId="1" xfId="3" applyNumberFormat="1" applyFont="1" applyFill="1" applyBorder="1" applyAlignment="1">
      <alignment horizontal="center" vertical="center"/>
    </xf>
    <xf numFmtId="9" fontId="14" fillId="3" borderId="1" xfId="3" applyNumberFormat="1" applyFont="1" applyFill="1" applyBorder="1" applyAlignment="1">
      <alignment horizontal="center" vertical="center"/>
    </xf>
    <xf numFmtId="10" fontId="14" fillId="3" borderId="1" xfId="3" applyNumberFormat="1" applyFont="1" applyFill="1" applyBorder="1" applyAlignment="1">
      <alignment horizontal="center" vertical="center"/>
    </xf>
    <xf numFmtId="164" fontId="14" fillId="0" borderId="1" xfId="6" applyNumberFormat="1" applyFont="1" applyBorder="1" applyAlignment="1">
      <alignment vertical="center"/>
    </xf>
    <xf numFmtId="0" fontId="14" fillId="0" borderId="0" xfId="2" applyFont="1" applyAlignment="1">
      <alignment vertical="center"/>
    </xf>
    <xf numFmtId="0" fontId="14" fillId="0" borderId="1" xfId="2" applyFont="1" applyBorder="1" applyAlignment="1">
      <alignment horizontal="center" vertical="center"/>
    </xf>
    <xf numFmtId="44" fontId="14" fillId="0" borderId="1" xfId="3" applyFont="1" applyBorder="1" applyAlignment="1">
      <alignment vertical="center"/>
    </xf>
    <xf numFmtId="0" fontId="13" fillId="0" borderId="1" xfId="2" applyFont="1" applyBorder="1" applyAlignment="1">
      <alignment horizontal="left" vertical="center"/>
    </xf>
    <xf numFmtId="44" fontId="14" fillId="0" borderId="0" xfId="3" applyFont="1" applyBorder="1" applyAlignment="1">
      <alignment horizontal="center" vertical="center"/>
    </xf>
    <xf numFmtId="0" fontId="14" fillId="0" borderId="1" xfId="5" applyFont="1" applyBorder="1" applyAlignment="1">
      <alignment horizontal="left" vertical="center" wrapText="1"/>
    </xf>
    <xf numFmtId="0" fontId="14" fillId="0" borderId="3" xfId="2" applyFont="1" applyBorder="1" applyAlignment="1">
      <alignment horizontal="left" vertical="center"/>
    </xf>
    <xf numFmtId="0" fontId="14" fillId="0" borderId="6" xfId="5" applyFont="1" applyBorder="1" applyAlignment="1">
      <alignment horizontal="left" vertical="center" wrapText="1"/>
    </xf>
    <xf numFmtId="2" fontId="3" fillId="6" borderId="4" xfId="4" applyNumberFormat="1" applyFont="1" applyFill="1" applyBorder="1" applyAlignment="1">
      <alignment horizontal="left" vertical="center"/>
    </xf>
    <xf numFmtId="0" fontId="16" fillId="6" borderId="1" xfId="5" applyFont="1" applyFill="1" applyBorder="1" applyAlignment="1">
      <alignment horizontal="left" vertical="center" wrapText="1"/>
    </xf>
    <xf numFmtId="0" fontId="14" fillId="6" borderId="1" xfId="5" applyFont="1" applyFill="1" applyBorder="1" applyAlignment="1">
      <alignment horizontal="center" vertical="center"/>
    </xf>
    <xf numFmtId="0" fontId="17" fillId="6" borderId="1" xfId="5" applyFont="1" applyFill="1" applyBorder="1" applyAlignment="1">
      <alignment horizontal="center" vertical="center"/>
    </xf>
    <xf numFmtId="0" fontId="15" fillId="6" borderId="1" xfId="5" applyFont="1" applyFill="1" applyBorder="1" applyAlignment="1">
      <alignment vertical="center" wrapText="1"/>
    </xf>
    <xf numFmtId="0" fontId="14" fillId="3" borderId="1" xfId="2" applyFont="1" applyFill="1" applyBorder="1" applyAlignment="1">
      <alignment horizontal="center" vertical="center"/>
    </xf>
    <xf numFmtId="44" fontId="14" fillId="6" borderId="1" xfId="3" applyFont="1" applyFill="1" applyBorder="1" applyAlignment="1">
      <alignment horizontal="center" vertical="center"/>
    </xf>
    <xf numFmtId="0" fontId="14" fillId="6" borderId="1" xfId="2" applyFont="1" applyFill="1" applyBorder="1" applyAlignment="1">
      <alignment horizontal="center" vertical="center"/>
    </xf>
    <xf numFmtId="0" fontId="14" fillId="6" borderId="0" xfId="2" applyFont="1" applyFill="1" applyAlignment="1">
      <alignment vertical="center"/>
    </xf>
    <xf numFmtId="0" fontId="14" fillId="6" borderId="1" xfId="2" applyFont="1" applyFill="1" applyBorder="1" applyAlignment="1">
      <alignment vertical="center"/>
    </xf>
    <xf numFmtId="0" fontId="18" fillId="7" borderId="1" xfId="6" applyFont="1" applyFill="1" applyBorder="1" applyAlignment="1">
      <alignment horizontal="left" vertical="center" wrapText="1"/>
    </xf>
    <xf numFmtId="0" fontId="17" fillId="0" borderId="1" xfId="5" applyFont="1" applyBorder="1" applyAlignment="1">
      <alignment horizontal="center" vertical="center"/>
    </xf>
    <xf numFmtId="0" fontId="14" fillId="0" borderId="1" xfId="2" applyFont="1" applyBorder="1" applyAlignment="1">
      <alignment horizontal="right" vertical="center"/>
    </xf>
    <xf numFmtId="44" fontId="14" fillId="0" borderId="1" xfId="3" applyFont="1" applyBorder="1" applyAlignment="1">
      <alignment horizontal="center" vertical="center"/>
    </xf>
    <xf numFmtId="0" fontId="20" fillId="6" borderId="1" xfId="5" applyFont="1" applyFill="1" applyBorder="1" applyAlignment="1">
      <alignment horizontal="center" vertical="center"/>
    </xf>
    <xf numFmtId="0" fontId="19" fillId="6" borderId="1" xfId="5" applyFont="1" applyFill="1" applyBorder="1" applyAlignment="1">
      <alignment vertical="center"/>
    </xf>
    <xf numFmtId="0" fontId="20" fillId="3" borderId="1" xfId="2" applyFont="1" applyFill="1" applyBorder="1" applyAlignment="1">
      <alignment horizontal="center" vertical="center"/>
    </xf>
    <xf numFmtId="44" fontId="20" fillId="6" borderId="1" xfId="3" applyFont="1" applyFill="1" applyBorder="1" applyAlignment="1">
      <alignment horizontal="center" vertical="center"/>
    </xf>
    <xf numFmtId="0" fontId="20" fillId="6" borderId="1" xfId="2" applyFont="1" applyFill="1" applyBorder="1" applyAlignment="1">
      <alignment horizontal="center" vertical="center"/>
    </xf>
    <xf numFmtId="0" fontId="20" fillId="6" borderId="0" xfId="2" applyFont="1" applyFill="1" applyAlignment="1">
      <alignment vertical="center"/>
    </xf>
    <xf numFmtId="0" fontId="20" fillId="0" borderId="0" xfId="2" applyFont="1" applyAlignment="1">
      <alignment vertical="center"/>
    </xf>
    <xf numFmtId="0" fontId="20" fillId="6" borderId="1" xfId="2" applyFont="1" applyFill="1" applyBorder="1" applyAlignment="1">
      <alignment vertical="center"/>
    </xf>
    <xf numFmtId="0" fontId="15" fillId="7" borderId="1" xfId="6" applyFont="1" applyFill="1" applyBorder="1" applyAlignment="1">
      <alignment horizontal="left" vertical="center" wrapText="1"/>
    </xf>
    <xf numFmtId="0" fontId="14" fillId="3" borderId="1" xfId="2" applyFont="1" applyFill="1" applyBorder="1" applyAlignment="1">
      <alignment horizontal="right" vertical="center"/>
    </xf>
    <xf numFmtId="0" fontId="21" fillId="6" borderId="1" xfId="5" applyFont="1" applyFill="1" applyBorder="1" applyAlignment="1">
      <alignment horizontal="left" vertical="center" wrapText="1"/>
    </xf>
    <xf numFmtId="44" fontId="20" fillId="3" borderId="1" xfId="3" applyFont="1" applyFill="1" applyBorder="1" applyAlignment="1">
      <alignment horizontal="center" vertical="center"/>
    </xf>
    <xf numFmtId="44" fontId="20" fillId="6" borderId="1" xfId="3" applyFont="1" applyFill="1" applyBorder="1" applyAlignment="1">
      <alignment vertical="center"/>
    </xf>
    <xf numFmtId="0" fontId="14" fillId="0" borderId="1" xfId="2" applyFont="1" applyBorder="1"/>
    <xf numFmtId="0" fontId="15" fillId="0" borderId="1" xfId="5" applyFont="1" applyBorder="1" applyAlignment="1">
      <alignment vertical="center"/>
    </xf>
    <xf numFmtId="0" fontId="14" fillId="7" borderId="1" xfId="6" applyFont="1" applyFill="1" applyBorder="1" applyAlignment="1">
      <alignment horizontal="left" vertical="center" wrapText="1"/>
    </xf>
    <xf numFmtId="0" fontId="15" fillId="0" borderId="1" xfId="5" applyFont="1" applyBorder="1" applyAlignment="1">
      <alignment horizontal="left" vertical="center" wrapText="1"/>
    </xf>
    <xf numFmtId="0" fontId="15" fillId="6" borderId="1" xfId="5" applyFont="1" applyFill="1" applyBorder="1" applyAlignment="1">
      <alignment vertical="center"/>
    </xf>
    <xf numFmtId="44" fontId="14" fillId="6" borderId="1" xfId="3" applyFont="1" applyFill="1" applyBorder="1" applyAlignment="1">
      <alignment vertical="center"/>
    </xf>
    <xf numFmtId="0" fontId="14" fillId="0" borderId="7" xfId="5" applyFont="1" applyBorder="1" applyAlignment="1">
      <alignment horizontal="left" vertical="center" wrapText="1"/>
    </xf>
    <xf numFmtId="0" fontId="14" fillId="0" borderId="8" xfId="5" applyFont="1" applyBorder="1" applyAlignment="1">
      <alignment horizontal="left" vertical="center" wrapText="1"/>
    </xf>
    <xf numFmtId="0" fontId="17" fillId="6" borderId="1" xfId="5" applyFont="1" applyFill="1" applyBorder="1" applyAlignment="1">
      <alignment horizontal="left" vertical="center"/>
    </xf>
    <xf numFmtId="0" fontId="15" fillId="0" borderId="1" xfId="5" applyFont="1" applyBorder="1" applyAlignment="1">
      <alignment horizontal="left" vertical="center"/>
    </xf>
    <xf numFmtId="0" fontId="15" fillId="7" borderId="1" xfId="5" applyFont="1" applyFill="1" applyBorder="1" applyAlignment="1">
      <alignment horizontal="left" vertical="center" wrapText="1"/>
    </xf>
    <xf numFmtId="0" fontId="18" fillId="0" borderId="1" xfId="5" applyFont="1" applyBorder="1" applyAlignment="1">
      <alignment horizontal="right" vertical="center"/>
    </xf>
    <xf numFmtId="0" fontId="17" fillId="6" borderId="1" xfId="5" applyFont="1" applyFill="1" applyBorder="1" applyAlignment="1">
      <alignment horizontal="left" vertical="center" wrapText="1"/>
    </xf>
    <xf numFmtId="0" fontId="15" fillId="0" borderId="1" xfId="5" applyFont="1" applyBorder="1" applyAlignment="1">
      <alignment vertical="center" wrapText="1"/>
    </xf>
    <xf numFmtId="0" fontId="15" fillId="8" borderId="1" xfId="5" applyFont="1" applyFill="1" applyBorder="1" applyAlignment="1">
      <alignment horizontal="left" vertical="center" wrapText="1"/>
    </xf>
    <xf numFmtId="0" fontId="15" fillId="7" borderId="1" xfId="5" applyFont="1" applyFill="1" applyBorder="1" applyAlignment="1">
      <alignment vertical="center" wrapText="1"/>
    </xf>
    <xf numFmtId="0" fontId="18" fillId="7" borderId="1" xfId="5" applyFont="1" applyFill="1" applyBorder="1" applyAlignment="1">
      <alignment vertical="center" wrapText="1"/>
    </xf>
    <xf numFmtId="0" fontId="18" fillId="7" borderId="1" xfId="6" applyFont="1" applyFill="1" applyBorder="1" applyAlignment="1">
      <alignment vertical="center" wrapText="1"/>
    </xf>
    <xf numFmtId="0" fontId="18" fillId="0" borderId="8" xfId="5" applyFont="1" applyBorder="1" applyAlignment="1">
      <alignment horizontal="left" vertical="center" wrapText="1"/>
    </xf>
    <xf numFmtId="0" fontId="18" fillId="7" borderId="1" xfId="5" applyFont="1" applyFill="1" applyBorder="1" applyAlignment="1">
      <alignment horizontal="left" vertical="center" wrapText="1"/>
    </xf>
    <xf numFmtId="0" fontId="21" fillId="7" borderId="1" xfId="5" applyFont="1" applyFill="1" applyBorder="1" applyAlignment="1">
      <alignment horizontal="left" vertical="center" wrapText="1"/>
    </xf>
    <xf numFmtId="0" fontId="18" fillId="0" borderId="1" xfId="5" applyFont="1" applyBorder="1" applyAlignment="1">
      <alignment horizontal="left" vertical="center" wrapText="1"/>
    </xf>
    <xf numFmtId="0" fontId="13" fillId="0" borderId="0" xfId="2" applyFont="1" applyAlignment="1">
      <alignment vertical="center"/>
    </xf>
    <xf numFmtId="0" fontId="16" fillId="9" borderId="1" xfId="5" applyFont="1" applyFill="1" applyBorder="1" applyAlignment="1">
      <alignment horizontal="left" vertical="center" wrapText="1"/>
    </xf>
    <xf numFmtId="44" fontId="20" fillId="10" borderId="1" xfId="3" applyFont="1" applyFill="1" applyBorder="1" applyAlignment="1">
      <alignment horizontal="center" vertical="center"/>
    </xf>
    <xf numFmtId="0" fontId="13" fillId="3" borderId="1" xfId="2" applyFont="1" applyFill="1" applyBorder="1" applyAlignment="1">
      <alignment vertical="center"/>
    </xf>
    <xf numFmtId="0" fontId="15" fillId="3" borderId="1" xfId="5" applyFont="1" applyFill="1" applyBorder="1" applyAlignment="1">
      <alignment vertical="center"/>
    </xf>
    <xf numFmtId="0" fontId="14" fillId="3" borderId="4" xfId="4" applyFont="1" applyFill="1" applyBorder="1" applyAlignment="1">
      <alignment horizontal="right" vertical="center"/>
    </xf>
    <xf numFmtId="44" fontId="14" fillId="3" borderId="1" xfId="3" applyFont="1" applyFill="1" applyBorder="1" applyAlignment="1">
      <alignment vertical="center"/>
    </xf>
    <xf numFmtId="0" fontId="14" fillId="3" borderId="0" xfId="2" applyFont="1" applyFill="1" applyAlignment="1">
      <alignment vertical="center"/>
    </xf>
    <xf numFmtId="0" fontId="22" fillId="0" borderId="9" xfId="2" applyFont="1" applyBorder="1"/>
    <xf numFmtId="44" fontId="14" fillId="0" borderId="1" xfId="3" applyFont="1" applyFill="1" applyBorder="1" applyAlignment="1">
      <alignment horizontal="center" vertical="center"/>
    </xf>
    <xf numFmtId="44" fontId="14" fillId="0" borderId="1" xfId="3" applyFont="1" applyFill="1" applyBorder="1" applyAlignment="1">
      <alignment vertical="center"/>
    </xf>
    <xf numFmtId="44" fontId="14" fillId="0" borderId="0" xfId="3" applyFont="1" applyFill="1" applyBorder="1" applyAlignment="1">
      <alignment horizontal="center" vertical="center"/>
    </xf>
    <xf numFmtId="0" fontId="15" fillId="0" borderId="1" xfId="7" applyFont="1" applyBorder="1" applyAlignment="1">
      <alignment horizontal="left" vertical="center"/>
    </xf>
    <xf numFmtId="0" fontId="23" fillId="7" borderId="1" xfId="5" applyFont="1" applyFill="1" applyBorder="1" applyAlignment="1">
      <alignment horizontal="left" vertical="center" wrapText="1"/>
    </xf>
    <xf numFmtId="0" fontId="14" fillId="6" borderId="3" xfId="2" applyFont="1" applyFill="1" applyBorder="1" applyAlignment="1">
      <alignment vertical="center"/>
    </xf>
    <xf numFmtId="0" fontId="14" fillId="6" borderId="1" xfId="2" applyFont="1" applyFill="1" applyBorder="1" applyAlignment="1">
      <alignment horizontal="left" vertical="center"/>
    </xf>
    <xf numFmtId="0" fontId="18" fillId="6" borderId="1" xfId="5" applyFont="1" applyFill="1" applyBorder="1" applyAlignment="1">
      <alignment horizontal="center" vertical="center" wrapText="1"/>
    </xf>
    <xf numFmtId="0" fontId="14" fillId="6" borderId="1" xfId="5" applyFont="1" applyFill="1" applyBorder="1" applyAlignment="1">
      <alignment horizontal="center" vertical="center" wrapText="1"/>
    </xf>
    <xf numFmtId="0" fontId="15" fillId="6" borderId="1" xfId="5" applyFont="1" applyFill="1" applyBorder="1" applyAlignment="1">
      <alignment horizontal="left" vertical="center"/>
    </xf>
    <xf numFmtId="0" fontId="16" fillId="6" borderId="4" xfId="2" applyFont="1" applyFill="1" applyBorder="1" applyAlignment="1">
      <alignment vertical="center"/>
    </xf>
    <xf numFmtId="0" fontId="16" fillId="6" borderId="3" xfId="2" applyFont="1" applyFill="1" applyBorder="1" applyAlignment="1">
      <alignment vertical="center"/>
    </xf>
    <xf numFmtId="0" fontId="16" fillId="6" borderId="1" xfId="2" applyFont="1" applyFill="1" applyBorder="1" applyAlignment="1">
      <alignment horizontal="left" vertical="center"/>
    </xf>
    <xf numFmtId="0" fontId="21" fillId="6" borderId="1" xfId="5" applyFont="1" applyFill="1" applyBorder="1" applyAlignment="1">
      <alignment horizontal="center" vertical="center" wrapText="1"/>
    </xf>
    <xf numFmtId="0" fontId="16" fillId="6" borderId="1" xfId="5" applyFont="1" applyFill="1" applyBorder="1" applyAlignment="1">
      <alignment horizontal="center" vertical="center" wrapText="1"/>
    </xf>
    <xf numFmtId="0" fontId="17" fillId="6" borderId="1" xfId="5" applyFont="1" applyFill="1" applyBorder="1" applyAlignment="1">
      <alignment vertical="center"/>
    </xf>
    <xf numFmtId="44" fontId="16" fillId="3" borderId="1" xfId="3" applyFont="1" applyFill="1" applyBorder="1" applyAlignment="1">
      <alignment horizontal="center" vertical="center"/>
    </xf>
    <xf numFmtId="0" fontId="16" fillId="6" borderId="1" xfId="2" applyFont="1" applyFill="1" applyBorder="1" applyAlignment="1">
      <alignment vertical="center"/>
    </xf>
    <xf numFmtId="44" fontId="16" fillId="6" borderId="1" xfId="1" applyFont="1" applyFill="1" applyBorder="1" applyAlignment="1">
      <alignment vertical="center"/>
    </xf>
    <xf numFmtId="44" fontId="16" fillId="6" borderId="1" xfId="3" applyFont="1" applyFill="1" applyBorder="1" applyAlignment="1">
      <alignment horizontal="center" vertical="center"/>
    </xf>
    <xf numFmtId="44" fontId="16" fillId="6" borderId="1" xfId="3" applyFont="1" applyFill="1" applyBorder="1" applyAlignment="1">
      <alignment vertical="center"/>
    </xf>
    <xf numFmtId="0" fontId="16" fillId="6" borderId="0" xfId="2" applyFont="1" applyFill="1" applyAlignment="1">
      <alignment vertical="center"/>
    </xf>
    <xf numFmtId="0" fontId="16" fillId="0" borderId="0" xfId="2" applyFont="1" applyAlignment="1">
      <alignment vertical="center"/>
    </xf>
    <xf numFmtId="165" fontId="16" fillId="6" borderId="1" xfId="2" applyNumberFormat="1" applyFont="1" applyFill="1" applyBorder="1" applyAlignment="1">
      <alignment vertical="center"/>
    </xf>
    <xf numFmtId="0" fontId="4" fillId="0" borderId="0" xfId="2" applyFont="1" applyAlignment="1">
      <alignment horizontal="left"/>
    </xf>
    <xf numFmtId="0" fontId="4" fillId="0" borderId="0" xfId="2" applyFont="1" applyAlignment="1">
      <alignment horizontal="center"/>
    </xf>
    <xf numFmtId="44" fontId="4" fillId="0" borderId="0" xfId="3" applyFont="1" applyBorder="1" applyAlignment="1">
      <alignment horizontal="center"/>
    </xf>
    <xf numFmtId="0" fontId="3" fillId="2" borderId="2" xfId="2" applyFont="1" applyFill="1" applyBorder="1" applyAlignment="1">
      <alignment horizontal="center"/>
    </xf>
    <xf numFmtId="0" fontId="3" fillId="2" borderId="0" xfId="2" applyFont="1" applyFill="1" applyAlignment="1">
      <alignment horizontal="center"/>
    </xf>
  </cellXfs>
  <cellStyles count="8">
    <cellStyle name="Currency" xfId="1" builtinId="4"/>
    <cellStyle name="Currency 10 2 2" xfId="3" xr:uid="{9E5C12CB-1DDA-4990-A6EC-84B6994DDEAA}"/>
    <cellStyle name="Normal" xfId="0" builtinId="0"/>
    <cellStyle name="Normal 10 2 3" xfId="6" xr:uid="{2BC40CCD-E9DD-46A3-A6F4-D1943C175082}"/>
    <cellStyle name="Normal 19 2" xfId="5" xr:uid="{F0B00460-6F39-4018-BE99-E60B8149370F}"/>
    <cellStyle name="Normal 2 2 2" xfId="2" xr:uid="{95CF93CC-6BA6-41F0-B4F4-2A751FAEBF07}"/>
    <cellStyle name="Normal 37 4" xfId="7" xr:uid="{DB538E19-9787-466B-9CFF-673DDB952743}"/>
    <cellStyle name="Normal 4 6" xfId="4" xr:uid="{DBF97865-8C9F-4CF9-BF11-B72655933D4A}"/>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E9AB0-0BE4-47D1-B2DA-B6DFF99259E3}">
  <sheetPr>
    <pageSetUpPr fitToPage="1"/>
  </sheetPr>
  <dimension ref="A1:AW335"/>
  <sheetViews>
    <sheetView tabSelected="1" zoomScale="115" zoomScaleNormal="115" workbookViewId="0">
      <selection activeCell="F33" sqref="F33"/>
    </sheetView>
  </sheetViews>
  <sheetFormatPr defaultColWidth="9.140625" defaultRowHeight="15.75" x14ac:dyDescent="0.25"/>
  <cols>
    <col min="1" max="1" width="22.42578125" style="138" customWidth="1"/>
    <col min="2" max="2" width="15.85546875" style="138" customWidth="1"/>
    <col min="3" max="3" width="13" style="138" customWidth="1"/>
    <col min="4" max="4" width="73.42578125" style="138" customWidth="1"/>
    <col min="5" max="5" width="10.28515625" style="139" bestFit="1" customWidth="1"/>
    <col min="6" max="6" width="18.140625" style="139" bestFit="1" customWidth="1"/>
    <col min="7" max="7" width="7.140625" style="139" customWidth="1"/>
    <col min="8" max="8" width="27.140625" style="139" customWidth="1"/>
    <col min="9" max="9" width="5.7109375" style="3" hidden="1" customWidth="1"/>
    <col min="10" max="10" width="10.28515625" style="139" customWidth="1"/>
    <col min="11" max="11" width="9.85546875" style="140" bestFit="1" customWidth="1"/>
    <col min="12" max="12" width="18.42578125" style="140" bestFit="1" customWidth="1"/>
    <col min="13" max="13" width="7.28515625" style="140" bestFit="1" customWidth="1"/>
    <col min="14" max="14" width="9.42578125" style="139" bestFit="1" customWidth="1"/>
    <col min="15" max="15" width="9.85546875" style="140" bestFit="1" customWidth="1"/>
    <col min="16" max="16" width="10.7109375" style="140" bestFit="1" customWidth="1"/>
    <col min="17" max="17" width="9.28515625" style="140" customWidth="1"/>
    <col min="18" max="18" width="9.140625" style="5" customWidth="1"/>
    <col min="19" max="19" width="10.140625" style="5" bestFit="1" customWidth="1"/>
    <col min="20" max="20" width="10.7109375" style="5" bestFit="1" customWidth="1"/>
    <col min="21" max="21" width="7.28515625" style="5" bestFit="1" customWidth="1"/>
    <col min="22" max="22" width="10.7109375" style="5" bestFit="1" customWidth="1"/>
    <col min="23" max="23" width="7.28515625" style="5" bestFit="1" customWidth="1"/>
    <col min="24" max="24" width="10.7109375" style="5" bestFit="1" customWidth="1"/>
    <col min="25" max="25" width="7.28515625" style="5" bestFit="1" customWidth="1"/>
    <col min="26" max="26" width="10.7109375" style="5" bestFit="1" customWidth="1"/>
    <col min="27" max="27" width="7.28515625" style="5" bestFit="1" customWidth="1"/>
    <col min="28" max="28" width="10.7109375" style="5" bestFit="1" customWidth="1"/>
    <col min="29" max="29" width="7.28515625" style="5" bestFit="1" customWidth="1"/>
    <col min="30" max="30" width="10.7109375" style="5" bestFit="1" customWidth="1"/>
    <col min="31" max="31" width="7.28515625" style="5" bestFit="1" customWidth="1"/>
    <col min="32" max="32" width="10.7109375" style="5" bestFit="1" customWidth="1"/>
    <col min="33" max="33" width="7.28515625" style="5" bestFit="1" customWidth="1"/>
    <col min="34" max="34" width="10.7109375" style="5" bestFit="1" customWidth="1"/>
    <col min="35" max="35" width="7.28515625" style="5" bestFit="1" customWidth="1"/>
    <col min="36" max="36" width="10.7109375" style="5" bestFit="1" customWidth="1"/>
    <col min="37" max="37" width="6.7109375" style="5" bestFit="1" customWidth="1"/>
    <col min="38" max="38" width="11.28515625" style="5" bestFit="1" customWidth="1"/>
    <col min="39" max="39" width="6.7109375" style="5" bestFit="1" customWidth="1"/>
    <col min="40" max="40" width="11.28515625" style="5" bestFit="1" customWidth="1"/>
    <col min="41" max="42" width="11.28515625" style="5" customWidth="1"/>
    <col min="43" max="43" width="7.140625" style="5" bestFit="1" customWidth="1"/>
    <col min="44" max="44" width="10.7109375" style="5" bestFit="1" customWidth="1"/>
    <col min="45" max="45" width="11" style="5" bestFit="1" customWidth="1"/>
    <col min="46" max="46" width="12" style="5" bestFit="1" customWidth="1"/>
    <col min="47" max="47" width="12.5703125" style="5" bestFit="1" customWidth="1"/>
    <col min="48" max="48" width="9.140625" style="5" bestFit="1" customWidth="1"/>
    <col min="49" max="49" width="11" style="5" bestFit="1" customWidth="1"/>
    <col min="50" max="16384" width="9.140625" style="5"/>
  </cols>
  <sheetData>
    <row r="1" spans="1:49" ht="12.75" customHeight="1" x14ac:dyDescent="0.25">
      <c r="A1" s="1"/>
      <c r="B1" s="2"/>
      <c r="C1" s="2"/>
      <c r="D1" s="2" t="s">
        <v>0</v>
      </c>
      <c r="E1" s="2" t="s">
        <v>959</v>
      </c>
      <c r="F1" s="2"/>
      <c r="G1" s="2"/>
      <c r="H1" s="2"/>
      <c r="J1" s="4" t="s">
        <v>1</v>
      </c>
      <c r="K1" s="4"/>
      <c r="L1" s="4"/>
      <c r="M1" s="4"/>
      <c r="N1" s="141" t="s">
        <v>2</v>
      </c>
      <c r="O1" s="141"/>
      <c r="P1" s="141"/>
      <c r="Q1" s="141"/>
      <c r="S1" s="142" t="s">
        <v>3</v>
      </c>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6"/>
      <c r="AW1" s="6"/>
    </row>
    <row r="2" spans="1:49" s="13" customFormat="1" ht="126" x14ac:dyDescent="0.25">
      <c r="A2" s="7" t="s">
        <v>4</v>
      </c>
      <c r="B2" s="7" t="s">
        <v>5</v>
      </c>
      <c r="C2" s="7" t="s">
        <v>6</v>
      </c>
      <c r="D2" s="7" t="s">
        <v>7</v>
      </c>
      <c r="E2" s="8" t="s">
        <v>8</v>
      </c>
      <c r="F2" s="8" t="s">
        <v>9</v>
      </c>
      <c r="G2" s="8" t="s">
        <v>10</v>
      </c>
      <c r="H2" s="9" t="s">
        <v>11</v>
      </c>
      <c r="I2" s="10"/>
      <c r="J2" s="9" t="s">
        <v>12</v>
      </c>
      <c r="K2" s="11" t="s">
        <v>13</v>
      </c>
      <c r="L2" s="11" t="s">
        <v>14</v>
      </c>
      <c r="M2" s="12" t="s">
        <v>15</v>
      </c>
      <c r="N2" s="9" t="s">
        <v>12</v>
      </c>
      <c r="O2" s="11" t="s">
        <v>13</v>
      </c>
      <c r="P2" s="11" t="s">
        <v>16</v>
      </c>
      <c r="Q2" s="12" t="s">
        <v>15</v>
      </c>
      <c r="S2" s="12" t="s">
        <v>17</v>
      </c>
      <c r="T2" s="12" t="s">
        <v>18</v>
      </c>
      <c r="U2" s="12" t="s">
        <v>19</v>
      </c>
      <c r="V2" s="12" t="s">
        <v>20</v>
      </c>
      <c r="W2" s="12" t="s">
        <v>21</v>
      </c>
      <c r="X2" s="12" t="s">
        <v>22</v>
      </c>
      <c r="Y2" s="12" t="s">
        <v>23</v>
      </c>
      <c r="Z2" s="12" t="s">
        <v>24</v>
      </c>
      <c r="AA2" s="12" t="s">
        <v>25</v>
      </c>
      <c r="AB2" s="12" t="s">
        <v>26</v>
      </c>
      <c r="AC2" s="12" t="s">
        <v>27</v>
      </c>
      <c r="AD2" s="12" t="s">
        <v>28</v>
      </c>
      <c r="AE2" s="12" t="s">
        <v>29</v>
      </c>
      <c r="AF2" s="12" t="s">
        <v>30</v>
      </c>
      <c r="AG2" s="12" t="s">
        <v>31</v>
      </c>
      <c r="AH2" s="12" t="s">
        <v>32</v>
      </c>
      <c r="AI2" s="12" t="s">
        <v>33</v>
      </c>
      <c r="AJ2" s="12" t="s">
        <v>34</v>
      </c>
      <c r="AK2" s="12" t="s">
        <v>35</v>
      </c>
      <c r="AL2" s="12" t="s">
        <v>36</v>
      </c>
      <c r="AM2" s="12" t="s">
        <v>37</v>
      </c>
      <c r="AN2" s="12" t="s">
        <v>38</v>
      </c>
      <c r="AO2" s="12" t="s">
        <v>39</v>
      </c>
      <c r="AP2" s="12" t="s">
        <v>40</v>
      </c>
      <c r="AQ2" s="12" t="s">
        <v>41</v>
      </c>
      <c r="AR2" s="12" t="s">
        <v>42</v>
      </c>
      <c r="AS2" s="12" t="s">
        <v>43</v>
      </c>
      <c r="AT2" s="12" t="s">
        <v>44</v>
      </c>
      <c r="AU2" s="12" t="s">
        <v>45</v>
      </c>
      <c r="AV2" s="12" t="s">
        <v>46</v>
      </c>
      <c r="AW2" s="12" t="s">
        <v>47</v>
      </c>
    </row>
    <row r="3" spans="1:49" s="32" customFormat="1" ht="12.75" customHeight="1" x14ac:dyDescent="0.25">
      <c r="A3" s="14" t="s">
        <v>48</v>
      </c>
      <c r="B3" s="15">
        <v>28243980</v>
      </c>
      <c r="C3" s="16" t="s">
        <v>49</v>
      </c>
      <c r="D3" s="17" t="s">
        <v>50</v>
      </c>
      <c r="E3" s="18" t="s">
        <v>958</v>
      </c>
      <c r="F3" s="19"/>
      <c r="G3" s="20"/>
      <c r="H3" s="19"/>
      <c r="I3" s="21"/>
      <c r="J3" s="20">
        <f>SUM(J4:J22)</f>
        <v>363</v>
      </c>
      <c r="K3" s="20">
        <v>140.10846774193499</v>
      </c>
      <c r="L3" s="22">
        <f>SUM(L4:L22)</f>
        <v>50859.373790322592</v>
      </c>
      <c r="M3" s="23"/>
      <c r="N3" s="20"/>
      <c r="O3" s="23"/>
      <c r="P3" s="24"/>
      <c r="Q3" s="23"/>
      <c r="R3" s="25"/>
      <c r="S3" s="26"/>
      <c r="T3" s="27"/>
      <c r="U3" s="26"/>
      <c r="V3" s="27"/>
      <c r="W3" s="26"/>
      <c r="X3" s="27"/>
      <c r="Y3" s="26"/>
      <c r="Z3" s="27"/>
      <c r="AA3" s="26"/>
      <c r="AB3" s="27"/>
      <c r="AC3" s="26"/>
      <c r="AD3" s="27"/>
      <c r="AE3" s="26"/>
      <c r="AF3" s="27"/>
      <c r="AG3" s="26"/>
      <c r="AH3" s="27"/>
      <c r="AI3" s="26"/>
      <c r="AJ3" s="27"/>
      <c r="AK3" s="26"/>
      <c r="AL3" s="27"/>
      <c r="AM3" s="26"/>
      <c r="AN3" s="27"/>
      <c r="AO3" s="27"/>
      <c r="AP3" s="27"/>
      <c r="AQ3" s="28"/>
      <c r="AR3" s="27"/>
      <c r="AS3" s="27"/>
      <c r="AT3" s="29"/>
      <c r="AU3" s="30"/>
      <c r="AV3" s="30"/>
      <c r="AW3" s="31"/>
    </row>
    <row r="4" spans="1:49" s="48" customFormat="1" ht="12.75" customHeight="1" x14ac:dyDescent="0.25">
      <c r="A4" s="33" t="s">
        <v>48</v>
      </c>
      <c r="B4" s="34" t="s">
        <v>51</v>
      </c>
      <c r="C4" s="35" t="s">
        <v>52</v>
      </c>
      <c r="D4" s="36" t="s">
        <v>53</v>
      </c>
      <c r="E4" s="37" t="s">
        <v>54</v>
      </c>
      <c r="F4" s="38" t="s">
        <v>55</v>
      </c>
      <c r="G4" s="39"/>
      <c r="H4" s="40" t="s">
        <v>56</v>
      </c>
      <c r="I4" s="41"/>
      <c r="J4" s="39">
        <v>90</v>
      </c>
      <c r="K4" s="42">
        <v>140.10846774193547</v>
      </c>
      <c r="L4" s="42">
        <v>12609.762096774193</v>
      </c>
      <c r="M4" s="39"/>
      <c r="N4" s="39"/>
      <c r="O4" s="39"/>
      <c r="P4" s="42">
        <v>0</v>
      </c>
      <c r="Q4" s="39"/>
      <c r="R4" s="39"/>
      <c r="S4" s="43"/>
      <c r="T4" s="42"/>
      <c r="U4" s="43"/>
      <c r="V4" s="42"/>
      <c r="W4" s="43"/>
      <c r="X4" s="42"/>
      <c r="Y4" s="43"/>
      <c r="Z4" s="42"/>
      <c r="AA4" s="43"/>
      <c r="AB4" s="42"/>
      <c r="AC4" s="43"/>
      <c r="AD4" s="42"/>
      <c r="AE4" s="43"/>
      <c r="AF4" s="42"/>
      <c r="AG4" s="43"/>
      <c r="AH4" s="42"/>
      <c r="AI4" s="43"/>
      <c r="AJ4" s="42"/>
      <c r="AK4" s="43"/>
      <c r="AL4" s="42"/>
      <c r="AM4" s="43"/>
      <c r="AN4" s="42"/>
      <c r="AO4" s="42"/>
      <c r="AP4" s="42"/>
      <c r="AQ4" s="44"/>
      <c r="AR4" s="42"/>
      <c r="AS4" s="42"/>
      <c r="AT4" s="45"/>
      <c r="AU4" s="46"/>
      <c r="AV4" s="46"/>
      <c r="AW4" s="47"/>
    </row>
    <row r="5" spans="1:49" s="48" customFormat="1" ht="15" x14ac:dyDescent="0.25">
      <c r="A5" s="33" t="s">
        <v>48</v>
      </c>
      <c r="B5" s="34" t="s">
        <v>57</v>
      </c>
      <c r="C5" s="35" t="s">
        <v>58</v>
      </c>
      <c r="D5" s="36" t="s">
        <v>59</v>
      </c>
      <c r="E5" s="37" t="s">
        <v>54</v>
      </c>
      <c r="F5" s="38" t="s">
        <v>55</v>
      </c>
      <c r="G5" s="49"/>
      <c r="H5" s="40" t="s">
        <v>56</v>
      </c>
      <c r="I5" s="42"/>
      <c r="J5" s="39">
        <v>28</v>
      </c>
      <c r="K5" s="42">
        <v>140.10846774193547</v>
      </c>
      <c r="L5" s="42">
        <v>3923.0370967741933</v>
      </c>
      <c r="M5" s="50"/>
      <c r="N5" s="39"/>
      <c r="O5" s="39"/>
      <c r="P5" s="42">
        <v>0</v>
      </c>
      <c r="Q5" s="50"/>
      <c r="R5" s="39"/>
      <c r="S5" s="43"/>
      <c r="T5" s="42"/>
      <c r="U5" s="43"/>
      <c r="V5" s="42"/>
      <c r="W5" s="43"/>
      <c r="X5" s="42"/>
      <c r="Y5" s="43"/>
      <c r="Z5" s="42"/>
      <c r="AA5" s="43"/>
      <c r="AB5" s="42"/>
      <c r="AC5" s="43"/>
      <c r="AD5" s="42"/>
      <c r="AE5" s="43"/>
      <c r="AF5" s="42"/>
      <c r="AG5" s="43"/>
      <c r="AH5" s="42"/>
      <c r="AI5" s="43"/>
      <c r="AJ5" s="42"/>
      <c r="AK5" s="43"/>
      <c r="AL5" s="42"/>
      <c r="AM5" s="43"/>
      <c r="AN5" s="42"/>
      <c r="AO5" s="42"/>
      <c r="AP5" s="42"/>
      <c r="AQ5" s="44"/>
      <c r="AR5" s="42"/>
      <c r="AS5" s="42"/>
      <c r="AT5" s="45"/>
      <c r="AU5" s="46"/>
      <c r="AV5" s="46"/>
      <c r="AW5" s="47"/>
    </row>
    <row r="6" spans="1:49" s="48" customFormat="1" ht="12.75" customHeight="1" x14ac:dyDescent="0.25">
      <c r="A6" s="33" t="s">
        <v>48</v>
      </c>
      <c r="B6" s="51" t="s">
        <v>60</v>
      </c>
      <c r="C6" s="35" t="s">
        <v>61</v>
      </c>
      <c r="D6" s="36" t="s">
        <v>62</v>
      </c>
      <c r="E6" s="37" t="s">
        <v>54</v>
      </c>
      <c r="F6" s="38" t="s">
        <v>55</v>
      </c>
      <c r="G6" s="49"/>
      <c r="H6" s="40" t="s">
        <v>56</v>
      </c>
      <c r="I6" s="42"/>
      <c r="J6" s="39">
        <v>8</v>
      </c>
      <c r="K6" s="42">
        <v>140.10846774193547</v>
      </c>
      <c r="L6" s="42">
        <v>1120.8677419354838</v>
      </c>
      <c r="M6" s="50"/>
      <c r="N6" s="39"/>
      <c r="O6" s="39"/>
      <c r="P6" s="42">
        <v>0</v>
      </c>
      <c r="Q6" s="52"/>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row>
    <row r="7" spans="1:49" s="48" customFormat="1" ht="12.75" customHeight="1" x14ac:dyDescent="0.25">
      <c r="A7" s="33" t="s">
        <v>48</v>
      </c>
      <c r="B7" s="51" t="s">
        <v>63</v>
      </c>
      <c r="C7" s="35" t="s">
        <v>64</v>
      </c>
      <c r="D7" s="36" t="s">
        <v>65</v>
      </c>
      <c r="E7" s="37" t="s">
        <v>54</v>
      </c>
      <c r="F7" s="38" t="s">
        <v>55</v>
      </c>
      <c r="G7" s="49"/>
      <c r="H7" s="40" t="s">
        <v>56</v>
      </c>
      <c r="I7" s="42"/>
      <c r="J7" s="39">
        <v>16</v>
      </c>
      <c r="K7" s="42">
        <v>140.10846774193547</v>
      </c>
      <c r="L7" s="42">
        <v>2241.7354838709675</v>
      </c>
      <c r="M7" s="50"/>
      <c r="N7" s="39"/>
      <c r="O7" s="39"/>
      <c r="P7" s="42">
        <v>0</v>
      </c>
      <c r="Q7" s="52"/>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row>
    <row r="8" spans="1:49" s="48" customFormat="1" ht="56.25" x14ac:dyDescent="0.25">
      <c r="A8" s="33" t="s">
        <v>48</v>
      </c>
      <c r="B8" s="51" t="s">
        <v>66</v>
      </c>
      <c r="C8" s="35" t="s">
        <v>67</v>
      </c>
      <c r="D8" s="36" t="s">
        <v>68</v>
      </c>
      <c r="E8" s="37" t="s">
        <v>69</v>
      </c>
      <c r="F8" s="38" t="s">
        <v>55</v>
      </c>
      <c r="G8" s="49"/>
      <c r="H8" s="40" t="s">
        <v>70</v>
      </c>
      <c r="I8" s="42"/>
      <c r="J8" s="39">
        <v>10.5</v>
      </c>
      <c r="K8" s="42">
        <v>140.10846774193547</v>
      </c>
      <c r="L8" s="42">
        <v>1471.1389112903225</v>
      </c>
      <c r="M8" s="50"/>
      <c r="N8" s="39"/>
      <c r="O8" s="39"/>
      <c r="P8" s="42">
        <v>0</v>
      </c>
      <c r="Q8" s="52"/>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row>
    <row r="9" spans="1:49" s="48" customFormat="1" ht="12.75" customHeight="1" x14ac:dyDescent="0.25">
      <c r="A9" s="33" t="s">
        <v>48</v>
      </c>
      <c r="B9" s="51" t="s">
        <v>71</v>
      </c>
      <c r="C9" s="35" t="s">
        <v>72</v>
      </c>
      <c r="D9" s="36" t="s">
        <v>73</v>
      </c>
      <c r="E9" s="37" t="s">
        <v>54</v>
      </c>
      <c r="F9" s="38" t="s">
        <v>55</v>
      </c>
      <c r="G9" s="49"/>
      <c r="H9" s="40"/>
      <c r="I9" s="42"/>
      <c r="J9" s="39">
        <v>30</v>
      </c>
      <c r="K9" s="42">
        <v>140.10846774193547</v>
      </c>
      <c r="L9" s="42">
        <v>4203.2540322580644</v>
      </c>
      <c r="M9" s="50"/>
      <c r="N9" s="39"/>
      <c r="O9" s="39"/>
      <c r="P9" s="42">
        <v>0</v>
      </c>
      <c r="Q9" s="52"/>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row>
    <row r="10" spans="1:49" s="48" customFormat="1" ht="12.75" customHeight="1" x14ac:dyDescent="0.25">
      <c r="A10" s="33" t="s">
        <v>48</v>
      </c>
      <c r="B10" s="51" t="s">
        <v>74</v>
      </c>
      <c r="C10" s="35" t="s">
        <v>75</v>
      </c>
      <c r="D10" s="36" t="s">
        <v>76</v>
      </c>
      <c r="E10" s="37" t="s">
        <v>54</v>
      </c>
      <c r="F10" s="38" t="s">
        <v>55</v>
      </c>
      <c r="G10" s="49"/>
      <c r="H10" s="40"/>
      <c r="I10" s="42"/>
      <c r="J10" s="39">
        <v>12</v>
      </c>
      <c r="K10" s="42">
        <v>140.10846774193547</v>
      </c>
      <c r="L10" s="42">
        <v>1681.3016129032258</v>
      </c>
      <c r="M10" s="50"/>
      <c r="N10" s="39"/>
      <c r="O10" s="39"/>
      <c r="P10" s="42">
        <v>0</v>
      </c>
      <c r="Q10" s="52"/>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row>
    <row r="11" spans="1:49" s="48" customFormat="1" ht="12.75" customHeight="1" x14ac:dyDescent="0.25">
      <c r="A11" s="33" t="s">
        <v>48</v>
      </c>
      <c r="B11" s="51" t="s">
        <v>77</v>
      </c>
      <c r="C11" s="35" t="s">
        <v>78</v>
      </c>
      <c r="D11" s="53" t="s">
        <v>79</v>
      </c>
      <c r="E11" s="37" t="s">
        <v>69</v>
      </c>
      <c r="F11" s="38" t="s">
        <v>55</v>
      </c>
      <c r="G11" s="49"/>
      <c r="H11" s="40" t="s">
        <v>80</v>
      </c>
      <c r="I11" s="42"/>
      <c r="J11" s="39">
        <v>21</v>
      </c>
      <c r="K11" s="42">
        <v>140.10846774193547</v>
      </c>
      <c r="L11" s="42">
        <v>2942.2778225806451</v>
      </c>
      <c r="M11" s="50"/>
      <c r="N11" s="39"/>
      <c r="O11" s="39"/>
      <c r="P11" s="42">
        <v>0</v>
      </c>
      <c r="Q11" s="52"/>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row>
    <row r="12" spans="1:49" s="48" customFormat="1" ht="12.75" customHeight="1" x14ac:dyDescent="0.25">
      <c r="A12" s="33" t="s">
        <v>48</v>
      </c>
      <c r="B12" s="54"/>
      <c r="C12" s="35"/>
      <c r="D12" s="53" t="s">
        <v>81</v>
      </c>
      <c r="E12" s="37" t="s">
        <v>69</v>
      </c>
      <c r="F12" s="38" t="s">
        <v>55</v>
      </c>
      <c r="G12" s="49"/>
      <c r="H12" s="40" t="s">
        <v>82</v>
      </c>
      <c r="I12" s="42"/>
      <c r="J12" s="39">
        <v>10.5</v>
      </c>
      <c r="K12" s="42">
        <v>140.10846774193547</v>
      </c>
      <c r="L12" s="42">
        <v>1471.1389112903225</v>
      </c>
      <c r="M12" s="50"/>
      <c r="N12" s="39"/>
      <c r="O12" s="39"/>
      <c r="P12" s="42">
        <v>0</v>
      </c>
      <c r="Q12" s="52"/>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row>
    <row r="13" spans="1:49" s="48" customFormat="1" ht="12.75" customHeight="1" x14ac:dyDescent="0.25">
      <c r="A13" s="33" t="s">
        <v>48</v>
      </c>
      <c r="B13" s="54"/>
      <c r="C13" s="35"/>
      <c r="D13" s="53" t="s">
        <v>83</v>
      </c>
      <c r="E13" s="37" t="s">
        <v>69</v>
      </c>
      <c r="F13" s="38" t="s">
        <v>55</v>
      </c>
      <c r="G13" s="49"/>
      <c r="H13" s="40" t="s">
        <v>82</v>
      </c>
      <c r="I13" s="42"/>
      <c r="J13" s="39">
        <v>21</v>
      </c>
      <c r="K13" s="42">
        <v>140.10846774193547</v>
      </c>
      <c r="L13" s="42">
        <v>2942.2778225806451</v>
      </c>
      <c r="M13" s="50"/>
      <c r="N13" s="39"/>
      <c r="O13" s="39"/>
      <c r="P13" s="42">
        <v>0</v>
      </c>
      <c r="Q13" s="52"/>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row>
    <row r="14" spans="1:49" s="48" customFormat="1" ht="12.75" customHeight="1" x14ac:dyDescent="0.25">
      <c r="A14" s="33" t="s">
        <v>48</v>
      </c>
      <c r="B14" s="54"/>
      <c r="C14" s="35"/>
      <c r="D14" s="53" t="s">
        <v>84</v>
      </c>
      <c r="E14" s="37" t="s">
        <v>69</v>
      </c>
      <c r="F14" s="38" t="s">
        <v>55</v>
      </c>
      <c r="G14" s="49"/>
      <c r="H14" s="40" t="s">
        <v>82</v>
      </c>
      <c r="I14" s="42"/>
      <c r="J14" s="39">
        <v>21</v>
      </c>
      <c r="K14" s="42">
        <v>140.10846774193547</v>
      </c>
      <c r="L14" s="42">
        <v>2942.2778225806451</v>
      </c>
      <c r="M14" s="50"/>
      <c r="N14" s="39"/>
      <c r="O14" s="39"/>
      <c r="P14" s="42">
        <v>0</v>
      </c>
      <c r="Q14" s="52"/>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row>
    <row r="15" spans="1:49" s="48" customFormat="1" ht="12.75" customHeight="1" x14ac:dyDescent="0.25">
      <c r="A15" s="33" t="s">
        <v>48</v>
      </c>
      <c r="B15" s="54"/>
      <c r="C15" s="35"/>
      <c r="D15" s="53" t="s">
        <v>85</v>
      </c>
      <c r="E15" s="37" t="s">
        <v>69</v>
      </c>
      <c r="F15" s="38" t="s">
        <v>55</v>
      </c>
      <c r="G15" s="49"/>
      <c r="H15" s="40" t="s">
        <v>82</v>
      </c>
      <c r="I15" s="42"/>
      <c r="J15" s="39">
        <v>4</v>
      </c>
      <c r="K15" s="42">
        <v>140.10846774193547</v>
      </c>
      <c r="L15" s="42">
        <v>560.43387096774188</v>
      </c>
      <c r="M15" s="50"/>
      <c r="N15" s="39"/>
      <c r="O15" s="39"/>
      <c r="P15" s="42">
        <v>0</v>
      </c>
      <c r="Q15" s="52"/>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row>
    <row r="16" spans="1:49" s="48" customFormat="1" ht="12.75" customHeight="1" x14ac:dyDescent="0.25">
      <c r="A16" s="33" t="s">
        <v>48</v>
      </c>
      <c r="B16" s="51" t="s">
        <v>86</v>
      </c>
      <c r="C16" s="35" t="s">
        <v>87</v>
      </c>
      <c r="D16" s="36" t="s">
        <v>88</v>
      </c>
      <c r="E16" s="37" t="s">
        <v>54</v>
      </c>
      <c r="F16" s="38" t="s">
        <v>55</v>
      </c>
      <c r="G16" s="49"/>
      <c r="H16" s="40" t="s">
        <v>56</v>
      </c>
      <c r="I16" s="42"/>
      <c r="J16" s="39">
        <v>10</v>
      </c>
      <c r="K16" s="42">
        <v>140.10846774193547</v>
      </c>
      <c r="L16" s="42">
        <v>1401.0846774193546</v>
      </c>
      <c r="M16" s="50"/>
      <c r="N16" s="39"/>
      <c r="O16" s="39"/>
      <c r="P16" s="42">
        <v>0</v>
      </c>
      <c r="Q16" s="52"/>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row>
    <row r="17" spans="1:49" s="48" customFormat="1" ht="12.75" customHeight="1" x14ac:dyDescent="0.25">
      <c r="A17" s="33" t="s">
        <v>48</v>
      </c>
      <c r="B17" s="51" t="s">
        <v>89</v>
      </c>
      <c r="C17" s="35" t="s">
        <v>90</v>
      </c>
      <c r="D17" s="36" t="s">
        <v>91</v>
      </c>
      <c r="E17" s="37" t="s">
        <v>54</v>
      </c>
      <c r="F17" s="38" t="s">
        <v>55</v>
      </c>
      <c r="G17" s="49"/>
      <c r="H17" s="40" t="s">
        <v>56</v>
      </c>
      <c r="I17" s="42"/>
      <c r="J17" s="39">
        <v>10</v>
      </c>
      <c r="K17" s="42">
        <v>140.10846774193547</v>
      </c>
      <c r="L17" s="42">
        <v>1401.0846774193546</v>
      </c>
      <c r="M17" s="50"/>
      <c r="N17" s="39"/>
      <c r="O17" s="39"/>
      <c r="P17" s="42">
        <v>0</v>
      </c>
      <c r="Q17" s="52"/>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row>
    <row r="18" spans="1:49" s="48" customFormat="1" ht="12.75" customHeight="1" x14ac:dyDescent="0.25">
      <c r="A18" s="33" t="s">
        <v>48</v>
      </c>
      <c r="B18" s="51" t="s">
        <v>92</v>
      </c>
      <c r="C18" s="35" t="s">
        <v>93</v>
      </c>
      <c r="D18" s="36" t="s">
        <v>94</v>
      </c>
      <c r="E18" s="37" t="s">
        <v>54</v>
      </c>
      <c r="F18" s="38" t="s">
        <v>55</v>
      </c>
      <c r="G18" s="49"/>
      <c r="H18" s="40" t="s">
        <v>56</v>
      </c>
      <c r="I18" s="42"/>
      <c r="J18" s="39">
        <v>6</v>
      </c>
      <c r="K18" s="42">
        <v>140.10846774193547</v>
      </c>
      <c r="L18" s="42">
        <v>840.65080645161288</v>
      </c>
      <c r="M18" s="50"/>
      <c r="N18" s="39"/>
      <c r="O18" s="39"/>
      <c r="P18" s="42">
        <v>0</v>
      </c>
      <c r="Q18" s="52"/>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row>
    <row r="19" spans="1:49" s="48" customFormat="1" ht="12.75" customHeight="1" x14ac:dyDescent="0.25">
      <c r="A19" s="33" t="s">
        <v>48</v>
      </c>
      <c r="B19" s="51" t="s">
        <v>95</v>
      </c>
      <c r="C19" s="35" t="s">
        <v>96</v>
      </c>
      <c r="D19" s="55" t="s">
        <v>97</v>
      </c>
      <c r="E19" s="37" t="s">
        <v>54</v>
      </c>
      <c r="F19" s="38" t="s">
        <v>55</v>
      </c>
      <c r="G19" s="49"/>
      <c r="H19" s="40" t="s">
        <v>56</v>
      </c>
      <c r="I19" s="42"/>
      <c r="J19" s="39">
        <v>20</v>
      </c>
      <c r="K19" s="42">
        <v>140.10846774193547</v>
      </c>
      <c r="L19" s="42">
        <v>2802.1693548387093</v>
      </c>
      <c r="M19" s="50"/>
      <c r="N19" s="39"/>
      <c r="O19" s="39"/>
      <c r="P19" s="42"/>
      <c r="Q19" s="52"/>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row>
    <row r="20" spans="1:49" s="48" customFormat="1" ht="12.75" customHeight="1" x14ac:dyDescent="0.25">
      <c r="A20" s="33" t="s">
        <v>48</v>
      </c>
      <c r="B20" s="34" t="s">
        <v>98</v>
      </c>
      <c r="C20" s="35" t="s">
        <v>99</v>
      </c>
      <c r="D20" s="36" t="s">
        <v>100</v>
      </c>
      <c r="E20" s="37" t="s">
        <v>54</v>
      </c>
      <c r="F20" s="38" t="s">
        <v>55</v>
      </c>
      <c r="G20" s="49"/>
      <c r="H20" s="40" t="s">
        <v>56</v>
      </c>
      <c r="I20" s="42"/>
      <c r="J20" s="39">
        <v>21</v>
      </c>
      <c r="K20" s="42">
        <v>140.10846774193547</v>
      </c>
      <c r="L20" s="42">
        <v>2942.2778225806451</v>
      </c>
      <c r="M20" s="50"/>
      <c r="N20" s="39"/>
      <c r="O20" s="39"/>
      <c r="P20" s="42">
        <v>0</v>
      </c>
      <c r="Q20" s="52"/>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row>
    <row r="21" spans="1:49" s="48" customFormat="1" ht="67.5" x14ac:dyDescent="0.25">
      <c r="A21" s="33" t="s">
        <v>48</v>
      </c>
      <c r="B21" s="51" t="s">
        <v>101</v>
      </c>
      <c r="C21" s="35" t="s">
        <v>102</v>
      </c>
      <c r="D21" s="53" t="s">
        <v>103</v>
      </c>
      <c r="E21" s="37" t="s">
        <v>69</v>
      </c>
      <c r="F21" s="38" t="s">
        <v>55</v>
      </c>
      <c r="G21" s="49"/>
      <c r="H21" s="40" t="s">
        <v>104</v>
      </c>
      <c r="I21" s="42"/>
      <c r="J21" s="39">
        <v>24</v>
      </c>
      <c r="K21" s="42">
        <v>140.10846774193547</v>
      </c>
      <c r="L21" s="42">
        <v>3362.6032258064515</v>
      </c>
      <c r="M21" s="50"/>
      <c r="N21" s="39"/>
      <c r="O21" s="39"/>
      <c r="P21" s="42">
        <v>0</v>
      </c>
      <c r="Q21" s="52"/>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row>
    <row r="22" spans="1:49" s="48" customFormat="1" ht="12.75" customHeight="1" x14ac:dyDescent="0.25">
      <c r="A22" s="33" t="s">
        <v>48</v>
      </c>
      <c r="B22" s="51" t="s">
        <v>105</v>
      </c>
      <c r="C22" s="35" t="s">
        <v>106</v>
      </c>
      <c r="D22" s="36" t="s">
        <v>107</v>
      </c>
      <c r="E22" s="37" t="s">
        <v>54</v>
      </c>
      <c r="F22" s="38" t="s">
        <v>55</v>
      </c>
      <c r="G22" s="49"/>
      <c r="H22" s="40" t="s">
        <v>56</v>
      </c>
      <c r="I22" s="42"/>
      <c r="J22" s="39">
        <v>0</v>
      </c>
      <c r="K22" s="42">
        <v>140.10846774193547</v>
      </c>
      <c r="L22" s="42">
        <v>0</v>
      </c>
      <c r="M22" s="50"/>
      <c r="N22" s="39"/>
      <c r="O22" s="39"/>
      <c r="P22" s="42">
        <v>0</v>
      </c>
      <c r="Q22" s="52"/>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row>
    <row r="23" spans="1:49" s="64" customFormat="1" ht="18" customHeight="1" x14ac:dyDescent="0.25">
      <c r="A23" s="14" t="s">
        <v>48</v>
      </c>
      <c r="B23" s="15">
        <v>28243983</v>
      </c>
      <c r="C23" s="56" t="s">
        <v>108</v>
      </c>
      <c r="D23" s="57" t="s">
        <v>109</v>
      </c>
      <c r="E23" s="18" t="s">
        <v>958</v>
      </c>
      <c r="F23" s="58"/>
      <c r="G23" s="59"/>
      <c r="H23" s="60"/>
      <c r="I23" s="61"/>
      <c r="J23" s="20">
        <f>SUM(J24)</f>
        <v>40</v>
      </c>
      <c r="K23" s="20">
        <v>140.10846774193499</v>
      </c>
      <c r="L23" s="22">
        <f>SUM(L24)</f>
        <v>5604.3387096774186</v>
      </c>
      <c r="M23" s="62"/>
      <c r="N23" s="63"/>
      <c r="O23" s="62"/>
      <c r="P23" s="62"/>
      <c r="R23" s="48"/>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row>
    <row r="24" spans="1:49" s="48" customFormat="1" ht="12.75" customHeight="1" x14ac:dyDescent="0.25">
      <c r="A24" s="33" t="s">
        <v>48</v>
      </c>
      <c r="B24" s="51" t="s">
        <v>110</v>
      </c>
      <c r="C24" s="35" t="s">
        <v>111</v>
      </c>
      <c r="D24" s="66" t="s">
        <v>112</v>
      </c>
      <c r="E24" s="37" t="s">
        <v>54</v>
      </c>
      <c r="F24" s="38" t="s">
        <v>55</v>
      </c>
      <c r="G24" s="67"/>
      <c r="H24" s="40" t="s">
        <v>56</v>
      </c>
      <c r="I24" s="61"/>
      <c r="J24" s="68">
        <v>40</v>
      </c>
      <c r="K24" s="42">
        <v>140.10846774193547</v>
      </c>
      <c r="L24" s="42">
        <v>5604.3387096774186</v>
      </c>
      <c r="M24" s="69"/>
      <c r="N24" s="49"/>
      <c r="O24" s="69"/>
      <c r="P24" s="42">
        <v>0</v>
      </c>
      <c r="Q24" s="52"/>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row>
    <row r="25" spans="1:49" s="75" customFormat="1" ht="12.75" customHeight="1" x14ac:dyDescent="0.25">
      <c r="A25" s="14" t="s">
        <v>48</v>
      </c>
      <c r="B25" s="15">
        <v>28243983</v>
      </c>
      <c r="C25" s="56" t="s">
        <v>113</v>
      </c>
      <c r="D25" s="57" t="s">
        <v>114</v>
      </c>
      <c r="E25" s="18" t="s">
        <v>958</v>
      </c>
      <c r="F25" s="70"/>
      <c r="G25" s="71"/>
      <c r="H25" s="71"/>
      <c r="I25" s="72"/>
      <c r="J25" s="20">
        <f>SUM(J26:J32)</f>
        <v>51</v>
      </c>
      <c r="K25" s="20">
        <v>140.10846774193499</v>
      </c>
      <c r="L25" s="22">
        <f>SUM(L26:L32)</f>
        <v>7145.5318548387086</v>
      </c>
      <c r="M25" s="73"/>
      <c r="N25" s="74"/>
      <c r="O25" s="73"/>
      <c r="P25" s="73"/>
      <c r="R25" s="76"/>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row>
    <row r="26" spans="1:49" s="48" customFormat="1" ht="12.75" customHeight="1" x14ac:dyDescent="0.25">
      <c r="A26" s="33" t="s">
        <v>48</v>
      </c>
      <c r="B26" s="51" t="s">
        <v>115</v>
      </c>
      <c r="C26" s="35" t="s">
        <v>116</v>
      </c>
      <c r="D26" s="78" t="s">
        <v>117</v>
      </c>
      <c r="E26" s="37" t="s">
        <v>54</v>
      </c>
      <c r="F26" s="38" t="s">
        <v>55</v>
      </c>
      <c r="G26" s="67"/>
      <c r="H26" s="40"/>
      <c r="I26" s="61"/>
      <c r="J26" s="79">
        <v>4</v>
      </c>
      <c r="K26" s="42">
        <v>140.10846774193547</v>
      </c>
      <c r="L26" s="42">
        <v>560.43387096774188</v>
      </c>
      <c r="M26" s="69"/>
      <c r="N26" s="49"/>
      <c r="O26" s="69"/>
      <c r="P26" s="42">
        <v>0</v>
      </c>
      <c r="Q26" s="52"/>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row>
    <row r="27" spans="1:49" s="48" customFormat="1" ht="12.75" customHeight="1" x14ac:dyDescent="0.25">
      <c r="A27" s="33" t="s">
        <v>48</v>
      </c>
      <c r="B27" s="51" t="s">
        <v>118</v>
      </c>
      <c r="C27" s="35" t="s">
        <v>119</v>
      </c>
      <c r="D27" s="78" t="s">
        <v>120</v>
      </c>
      <c r="E27" s="37" t="s">
        <v>54</v>
      </c>
      <c r="F27" s="38" t="s">
        <v>55</v>
      </c>
      <c r="G27" s="67"/>
      <c r="H27" s="40"/>
      <c r="I27" s="61"/>
      <c r="J27" s="79">
        <v>5</v>
      </c>
      <c r="K27" s="42">
        <v>140.10846774193547</v>
      </c>
      <c r="L27" s="42">
        <v>700.54233870967732</v>
      </c>
      <c r="M27" s="69"/>
      <c r="N27" s="49"/>
      <c r="O27" s="69"/>
      <c r="P27" s="42">
        <v>0</v>
      </c>
      <c r="Q27" s="52"/>
      <c r="S27" s="39"/>
      <c r="T27" s="39"/>
      <c r="U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row>
    <row r="28" spans="1:49" s="48" customFormat="1" ht="12.75" customHeight="1" x14ac:dyDescent="0.25">
      <c r="A28" s="33" t="s">
        <v>48</v>
      </c>
      <c r="B28" s="51" t="s">
        <v>121</v>
      </c>
      <c r="C28" s="35" t="s">
        <v>122</v>
      </c>
      <c r="D28" s="78" t="s">
        <v>123</v>
      </c>
      <c r="E28" s="37" t="s">
        <v>54</v>
      </c>
      <c r="F28" s="38" t="s">
        <v>55</v>
      </c>
      <c r="G28" s="67"/>
      <c r="H28" s="40"/>
      <c r="I28" s="61"/>
      <c r="J28" s="79">
        <v>11</v>
      </c>
      <c r="K28" s="42">
        <v>140.10846774193547</v>
      </c>
      <c r="L28" s="42">
        <v>1541.1931451612902</v>
      </c>
      <c r="M28" s="69"/>
      <c r="N28" s="49"/>
      <c r="O28" s="69"/>
      <c r="P28" s="42">
        <v>0</v>
      </c>
      <c r="Q28" s="52"/>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row>
    <row r="29" spans="1:49" s="48" customFormat="1" ht="12.75" customHeight="1" x14ac:dyDescent="0.25">
      <c r="A29" s="33" t="s">
        <v>48</v>
      </c>
      <c r="B29" s="51" t="s">
        <v>124</v>
      </c>
      <c r="C29" s="35" t="s">
        <v>125</v>
      </c>
      <c r="D29" s="66" t="s">
        <v>126</v>
      </c>
      <c r="E29" s="37" t="s">
        <v>54</v>
      </c>
      <c r="F29" s="38" t="s">
        <v>55</v>
      </c>
      <c r="G29" s="67"/>
      <c r="H29" s="40"/>
      <c r="I29" s="61"/>
      <c r="J29" s="79">
        <v>5</v>
      </c>
      <c r="K29" s="42">
        <v>140.10846774193547</v>
      </c>
      <c r="L29" s="42">
        <v>700.54233870967732</v>
      </c>
      <c r="M29" s="69"/>
      <c r="N29" s="49"/>
      <c r="O29" s="69"/>
      <c r="P29" s="42">
        <v>0</v>
      </c>
      <c r="Q29" s="52"/>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row>
    <row r="30" spans="1:49" s="48" customFormat="1" ht="12.75" customHeight="1" x14ac:dyDescent="0.25">
      <c r="A30" s="33" t="s">
        <v>48</v>
      </c>
      <c r="B30" s="51" t="s">
        <v>127</v>
      </c>
      <c r="C30" s="35" t="s">
        <v>128</v>
      </c>
      <c r="D30" s="66" t="s">
        <v>129</v>
      </c>
      <c r="E30" s="37" t="s">
        <v>54</v>
      </c>
      <c r="F30" s="38" t="s">
        <v>55</v>
      </c>
      <c r="G30" s="67"/>
      <c r="H30" s="40"/>
      <c r="I30" s="61"/>
      <c r="J30" s="79">
        <v>10.5</v>
      </c>
      <c r="K30" s="42">
        <v>140.10846774193547</v>
      </c>
      <c r="L30" s="42">
        <v>1471.1389112903225</v>
      </c>
      <c r="M30" s="69"/>
      <c r="N30" s="49"/>
      <c r="O30" s="69"/>
      <c r="P30" s="42">
        <v>0</v>
      </c>
      <c r="Q30" s="52"/>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row>
    <row r="31" spans="1:49" s="48" customFormat="1" ht="12.75" customHeight="1" x14ac:dyDescent="0.25">
      <c r="A31" s="33" t="s">
        <v>48</v>
      </c>
      <c r="B31" s="51" t="s">
        <v>130</v>
      </c>
      <c r="C31" s="35" t="s">
        <v>131</v>
      </c>
      <c r="D31" s="66" t="s">
        <v>132</v>
      </c>
      <c r="E31" s="37" t="s">
        <v>54</v>
      </c>
      <c r="F31" s="38" t="s">
        <v>55</v>
      </c>
      <c r="G31" s="67"/>
      <c r="H31" s="40"/>
      <c r="I31" s="61"/>
      <c r="J31" s="79">
        <v>10.5</v>
      </c>
      <c r="K31" s="42">
        <v>140.10846774193547</v>
      </c>
      <c r="L31" s="42">
        <v>1471.1389112903225</v>
      </c>
      <c r="M31" s="69"/>
      <c r="N31" s="49"/>
      <c r="O31" s="69"/>
      <c r="P31" s="42">
        <v>0</v>
      </c>
      <c r="Q31" s="52"/>
      <c r="S31" s="39"/>
      <c r="T31" s="39"/>
      <c r="U31" s="39"/>
      <c r="V31" s="39"/>
      <c r="W31" s="39"/>
      <c r="X31" s="39"/>
      <c r="Y31" s="39"/>
      <c r="Z31" s="39"/>
      <c r="AA31" s="39"/>
      <c r="AB31" s="39"/>
      <c r="AC31" s="39"/>
      <c r="AD31" s="39"/>
      <c r="AE31" s="39"/>
      <c r="AF31" s="39"/>
      <c r="AG31" s="39"/>
      <c r="AH31" s="39"/>
      <c r="AI31" s="39"/>
      <c r="AJ31" s="39"/>
      <c r="AK31" s="39"/>
      <c r="AL31" s="39"/>
      <c r="AM31" s="39"/>
      <c r="AN31" s="39"/>
      <c r="AO31" s="39"/>
      <c r="AP31" s="39"/>
      <c r="AQ31" s="39"/>
      <c r="AR31" s="39"/>
      <c r="AS31" s="39"/>
      <c r="AT31" s="39"/>
      <c r="AU31" s="39"/>
      <c r="AV31" s="39"/>
      <c r="AW31" s="39"/>
    </row>
    <row r="32" spans="1:49" s="48" customFormat="1" ht="12.75" customHeight="1" x14ac:dyDescent="0.25">
      <c r="A32" s="33" t="s">
        <v>48</v>
      </c>
      <c r="B32" s="51" t="s">
        <v>133</v>
      </c>
      <c r="C32" s="35" t="s">
        <v>134</v>
      </c>
      <c r="D32" s="66" t="s">
        <v>135</v>
      </c>
      <c r="E32" s="37" t="s">
        <v>54</v>
      </c>
      <c r="F32" s="38" t="s">
        <v>55</v>
      </c>
      <c r="G32" s="67"/>
      <c r="H32" s="40"/>
      <c r="I32" s="61"/>
      <c r="J32" s="68">
        <v>5</v>
      </c>
      <c r="K32" s="42">
        <v>140.10846774193547</v>
      </c>
      <c r="L32" s="42">
        <v>700.54233870967732</v>
      </c>
      <c r="M32" s="69"/>
      <c r="N32" s="49"/>
      <c r="O32" s="69"/>
      <c r="P32" s="42">
        <v>0</v>
      </c>
      <c r="Q32" s="52"/>
      <c r="S32" s="39"/>
      <c r="T32" s="39"/>
      <c r="U32" s="39"/>
      <c r="V32" s="39"/>
      <c r="W32" s="39"/>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row>
    <row r="33" spans="1:49" s="75" customFormat="1" ht="12.75" customHeight="1" x14ac:dyDescent="0.25">
      <c r="A33" s="14" t="s">
        <v>136</v>
      </c>
      <c r="B33" s="15">
        <v>28243981</v>
      </c>
      <c r="C33" s="56" t="s">
        <v>137</v>
      </c>
      <c r="D33" s="80" t="s">
        <v>138</v>
      </c>
      <c r="E33" s="18" t="s">
        <v>958</v>
      </c>
      <c r="F33" s="70"/>
      <c r="G33" s="71"/>
      <c r="H33" s="71"/>
      <c r="I33" s="81"/>
      <c r="J33" s="20">
        <f>SUM(J34:J39)</f>
        <v>195</v>
      </c>
      <c r="K33" s="20">
        <v>140.10846774193499</v>
      </c>
      <c r="L33" s="22">
        <f>SUM(L34:L39)</f>
        <v>27321.151209677417</v>
      </c>
      <c r="M33" s="82"/>
      <c r="N33" s="77"/>
      <c r="O33" s="77"/>
      <c r="P33" s="73"/>
      <c r="R33" s="76"/>
      <c r="S33" s="77"/>
      <c r="T33" s="77"/>
      <c r="U33" s="77"/>
      <c r="V33" s="77"/>
      <c r="W33" s="77"/>
      <c r="X33" s="77"/>
      <c r="Y33" s="77"/>
      <c r="Z33" s="77"/>
      <c r="AA33" s="77"/>
      <c r="AB33" s="77"/>
      <c r="AC33" s="77"/>
      <c r="AD33" s="77"/>
      <c r="AE33" s="77"/>
      <c r="AF33" s="77"/>
      <c r="AG33" s="77"/>
      <c r="AH33" s="77"/>
      <c r="AI33" s="77"/>
      <c r="AJ33" s="77"/>
      <c r="AK33" s="77"/>
      <c r="AL33" s="77"/>
      <c r="AM33" s="77"/>
      <c r="AN33" s="77"/>
      <c r="AO33" s="77"/>
      <c r="AP33" s="77"/>
      <c r="AQ33" s="77"/>
      <c r="AR33" s="77"/>
      <c r="AS33" s="77"/>
      <c r="AT33" s="77"/>
      <c r="AU33" s="77"/>
      <c r="AV33" s="77"/>
      <c r="AW33" s="77"/>
    </row>
    <row r="34" spans="1:49" s="48" customFormat="1" ht="12.75" customHeight="1" x14ac:dyDescent="0.25">
      <c r="A34" s="33" t="s">
        <v>136</v>
      </c>
      <c r="B34" s="51" t="s">
        <v>139</v>
      </c>
      <c r="C34" s="35" t="s">
        <v>140</v>
      </c>
      <c r="D34" s="66" t="s">
        <v>141</v>
      </c>
      <c r="E34" s="37" t="s">
        <v>54</v>
      </c>
      <c r="F34" s="38" t="s">
        <v>55</v>
      </c>
      <c r="G34" s="67"/>
      <c r="H34" s="40" t="s">
        <v>56</v>
      </c>
      <c r="I34" s="61"/>
      <c r="J34" s="83">
        <v>30</v>
      </c>
      <c r="K34" s="42">
        <v>140.10846774193547</v>
      </c>
      <c r="L34" s="42">
        <v>4203.2540322580644</v>
      </c>
      <c r="M34" s="69"/>
      <c r="N34" s="49"/>
      <c r="O34" s="69"/>
      <c r="P34" s="42">
        <v>0</v>
      </c>
      <c r="Q34" s="52"/>
      <c r="S34" s="39"/>
      <c r="T34" s="39"/>
      <c r="U34" s="39"/>
      <c r="V34" s="39"/>
      <c r="W34" s="39"/>
      <c r="X34" s="39"/>
      <c r="Y34" s="39"/>
      <c r="Z34" s="39"/>
      <c r="AA34" s="39"/>
      <c r="AB34" s="39"/>
      <c r="AC34" s="39"/>
      <c r="AD34" s="39"/>
      <c r="AE34" s="39"/>
      <c r="AF34" s="39"/>
      <c r="AG34" s="39"/>
      <c r="AH34" s="39"/>
      <c r="AI34" s="39"/>
      <c r="AJ34" s="39"/>
      <c r="AK34" s="39"/>
      <c r="AL34" s="39"/>
      <c r="AM34" s="39"/>
      <c r="AN34" s="39"/>
      <c r="AO34" s="39"/>
      <c r="AP34" s="39"/>
      <c r="AQ34" s="39"/>
      <c r="AR34" s="39"/>
      <c r="AS34" s="39"/>
      <c r="AT34" s="39"/>
      <c r="AU34" s="39"/>
      <c r="AV34" s="39"/>
      <c r="AW34" s="39"/>
    </row>
    <row r="35" spans="1:49" s="48" customFormat="1" ht="12.75" customHeight="1" x14ac:dyDescent="0.25">
      <c r="A35" s="33" t="s">
        <v>136</v>
      </c>
      <c r="B35" s="51" t="s">
        <v>142</v>
      </c>
      <c r="C35" s="35" t="s">
        <v>143</v>
      </c>
      <c r="D35" s="66" t="s">
        <v>144</v>
      </c>
      <c r="E35" s="37" t="s">
        <v>54</v>
      </c>
      <c r="F35" s="38" t="s">
        <v>55</v>
      </c>
      <c r="G35" s="67"/>
      <c r="H35" s="40" t="s">
        <v>56</v>
      </c>
      <c r="I35" s="61"/>
      <c r="J35" s="83">
        <v>40</v>
      </c>
      <c r="K35" s="42">
        <v>140.10846774193547</v>
      </c>
      <c r="L35" s="42">
        <v>5604.3387096774186</v>
      </c>
      <c r="M35" s="69"/>
      <c r="N35" s="49"/>
      <c r="O35" s="69"/>
      <c r="P35" s="42">
        <v>0</v>
      </c>
      <c r="Q35" s="52"/>
      <c r="S35" s="39"/>
      <c r="T35" s="39"/>
      <c r="U35" s="39"/>
      <c r="V35" s="39"/>
      <c r="W35" s="39"/>
      <c r="X35" s="39"/>
      <c r="Y35" s="39"/>
      <c r="Z35" s="39"/>
      <c r="AA35" s="39"/>
      <c r="AB35" s="39"/>
      <c r="AC35" s="39"/>
      <c r="AD35" s="39"/>
      <c r="AE35" s="39"/>
      <c r="AF35" s="39"/>
      <c r="AG35" s="39"/>
      <c r="AH35" s="39"/>
      <c r="AI35" s="39"/>
      <c r="AJ35" s="39"/>
      <c r="AK35" s="39"/>
      <c r="AL35" s="39"/>
      <c r="AM35" s="39"/>
      <c r="AN35" s="39"/>
      <c r="AO35" s="39"/>
      <c r="AP35" s="39"/>
      <c r="AQ35" s="39"/>
      <c r="AR35" s="39"/>
      <c r="AS35" s="39"/>
      <c r="AT35" s="39"/>
      <c r="AU35" s="39"/>
      <c r="AV35" s="39"/>
      <c r="AW35" s="39"/>
    </row>
    <row r="36" spans="1:49" s="48" customFormat="1" ht="12.75" customHeight="1" x14ac:dyDescent="0.25">
      <c r="A36" s="33" t="s">
        <v>136</v>
      </c>
      <c r="B36" s="51" t="s">
        <v>145</v>
      </c>
      <c r="C36" s="35" t="s">
        <v>146</v>
      </c>
      <c r="D36" s="66" t="s">
        <v>147</v>
      </c>
      <c r="E36" s="37" t="s">
        <v>54</v>
      </c>
      <c r="F36" s="38" t="s">
        <v>55</v>
      </c>
      <c r="G36" s="67"/>
      <c r="H36" s="40" t="s">
        <v>56</v>
      </c>
      <c r="I36" s="61"/>
      <c r="J36" s="83">
        <v>50</v>
      </c>
      <c r="K36" s="42">
        <v>140.10846774193547</v>
      </c>
      <c r="L36" s="42">
        <v>7005.4233870967737</v>
      </c>
      <c r="M36" s="69"/>
      <c r="N36" s="49"/>
      <c r="O36" s="69"/>
      <c r="P36" s="42">
        <v>0</v>
      </c>
      <c r="Q36" s="52"/>
      <c r="S36" s="39"/>
      <c r="T36" s="39"/>
      <c r="U36" s="39"/>
      <c r="V36" s="39"/>
      <c r="W36" s="39"/>
      <c r="X36" s="39"/>
      <c r="Y36" s="39"/>
      <c r="Z36" s="39"/>
      <c r="AA36" s="39"/>
      <c r="AB36" s="39"/>
      <c r="AC36" s="39"/>
      <c r="AD36" s="39"/>
      <c r="AE36" s="39"/>
      <c r="AF36" s="39"/>
      <c r="AG36" s="39"/>
      <c r="AH36" s="39"/>
      <c r="AI36" s="39"/>
      <c r="AJ36" s="39"/>
      <c r="AK36" s="39"/>
      <c r="AL36" s="39"/>
      <c r="AM36" s="39"/>
      <c r="AN36" s="39"/>
      <c r="AO36" s="39"/>
      <c r="AP36" s="39"/>
      <c r="AQ36" s="39"/>
      <c r="AR36" s="39"/>
      <c r="AS36" s="39"/>
      <c r="AT36" s="39"/>
      <c r="AU36" s="39"/>
      <c r="AV36" s="39"/>
      <c r="AW36" s="39"/>
    </row>
    <row r="37" spans="1:49" s="48" customFormat="1" ht="12.75" customHeight="1" x14ac:dyDescent="0.25">
      <c r="A37" s="33" t="s">
        <v>136</v>
      </c>
      <c r="B37" s="51" t="s">
        <v>148</v>
      </c>
      <c r="C37" s="35" t="s">
        <v>149</v>
      </c>
      <c r="D37" s="66" t="s">
        <v>150</v>
      </c>
      <c r="E37" s="37" t="s">
        <v>54</v>
      </c>
      <c r="F37" s="38" t="s">
        <v>55</v>
      </c>
      <c r="G37" s="67"/>
      <c r="H37" s="40" t="s">
        <v>56</v>
      </c>
      <c r="I37" s="61"/>
      <c r="J37" s="83">
        <v>30</v>
      </c>
      <c r="K37" s="42">
        <v>140.10846774193547</v>
      </c>
      <c r="L37" s="42">
        <v>4203.2540322580644</v>
      </c>
      <c r="M37" s="69"/>
      <c r="N37" s="49"/>
      <c r="O37" s="69"/>
      <c r="P37" s="42">
        <v>0</v>
      </c>
      <c r="Q37" s="52"/>
      <c r="S37" s="39"/>
      <c r="T37" s="39"/>
      <c r="U37" s="39"/>
      <c r="V37" s="39"/>
      <c r="W37" s="39"/>
      <c r="X37" s="39"/>
      <c r="Y37" s="39"/>
      <c r="Z37" s="39"/>
      <c r="AA37" s="39"/>
      <c r="AB37" s="39"/>
      <c r="AC37" s="39"/>
      <c r="AD37" s="39"/>
      <c r="AE37" s="39"/>
      <c r="AF37" s="39"/>
      <c r="AG37" s="39"/>
      <c r="AH37" s="39"/>
      <c r="AI37" s="39"/>
      <c r="AJ37" s="39"/>
      <c r="AK37" s="39"/>
      <c r="AL37" s="39"/>
      <c r="AM37" s="39"/>
      <c r="AN37" s="39"/>
      <c r="AO37" s="39"/>
      <c r="AP37" s="39"/>
      <c r="AQ37" s="39"/>
      <c r="AR37" s="39"/>
      <c r="AS37" s="39"/>
      <c r="AT37" s="39"/>
      <c r="AU37" s="39"/>
      <c r="AV37" s="39"/>
      <c r="AW37" s="39"/>
    </row>
    <row r="38" spans="1:49" s="48" customFormat="1" ht="12.75" customHeight="1" x14ac:dyDescent="0.25">
      <c r="A38" s="33" t="s">
        <v>136</v>
      </c>
      <c r="B38" s="51" t="s">
        <v>151</v>
      </c>
      <c r="C38" s="35" t="s">
        <v>152</v>
      </c>
      <c r="D38" s="66" t="s">
        <v>153</v>
      </c>
      <c r="E38" s="37" t="s">
        <v>54</v>
      </c>
      <c r="F38" s="38" t="s">
        <v>55</v>
      </c>
      <c r="G38" s="67"/>
      <c r="H38" s="40" t="s">
        <v>56</v>
      </c>
      <c r="I38" s="61"/>
      <c r="J38" s="83">
        <v>30</v>
      </c>
      <c r="K38" s="42">
        <v>140.10846774193547</v>
      </c>
      <c r="L38" s="42">
        <v>4203.2540322580644</v>
      </c>
      <c r="M38" s="69"/>
      <c r="N38" s="49"/>
      <c r="O38" s="69"/>
      <c r="P38" s="42">
        <v>0</v>
      </c>
      <c r="Q38" s="52"/>
      <c r="S38" s="39"/>
      <c r="T38" s="39"/>
      <c r="U38" s="39"/>
      <c r="V38" s="39"/>
      <c r="W38" s="39"/>
      <c r="X38" s="39"/>
      <c r="Y38" s="39"/>
      <c r="Z38" s="39"/>
      <c r="AA38" s="39"/>
      <c r="AB38" s="39"/>
      <c r="AC38" s="39"/>
      <c r="AD38" s="39"/>
      <c r="AE38" s="39"/>
      <c r="AF38" s="39"/>
      <c r="AG38" s="39"/>
      <c r="AH38" s="39"/>
      <c r="AI38" s="39"/>
      <c r="AJ38" s="39"/>
      <c r="AK38" s="39"/>
      <c r="AL38" s="39"/>
      <c r="AM38" s="39"/>
      <c r="AN38" s="39"/>
      <c r="AO38" s="39"/>
      <c r="AP38" s="39"/>
      <c r="AQ38" s="39"/>
      <c r="AR38" s="39"/>
      <c r="AS38" s="39"/>
      <c r="AT38" s="39"/>
      <c r="AU38" s="39"/>
      <c r="AV38" s="39"/>
      <c r="AW38" s="39"/>
    </row>
    <row r="39" spans="1:49" s="48" customFormat="1" ht="12.75" customHeight="1" x14ac:dyDescent="0.25">
      <c r="A39" s="33" t="s">
        <v>136</v>
      </c>
      <c r="B39" s="51" t="s">
        <v>154</v>
      </c>
      <c r="C39" s="35" t="s">
        <v>155</v>
      </c>
      <c r="D39" s="66" t="s">
        <v>156</v>
      </c>
      <c r="E39" s="37" t="s">
        <v>54</v>
      </c>
      <c r="F39" s="38" t="s">
        <v>55</v>
      </c>
      <c r="G39" s="67"/>
      <c r="H39" s="40" t="s">
        <v>56</v>
      </c>
      <c r="I39" s="61"/>
      <c r="J39" s="83">
        <v>15</v>
      </c>
      <c r="K39" s="42">
        <v>140.10846774193547</v>
      </c>
      <c r="L39" s="42">
        <v>2101.6270161290322</v>
      </c>
      <c r="M39" s="69"/>
      <c r="N39" s="49"/>
      <c r="O39" s="69"/>
      <c r="P39" s="42">
        <v>0</v>
      </c>
      <c r="Q39" s="52"/>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row>
    <row r="40" spans="1:49" s="75" customFormat="1" ht="12.75" customHeight="1" x14ac:dyDescent="0.25">
      <c r="A40" s="14" t="s">
        <v>136</v>
      </c>
      <c r="B40" s="15">
        <v>28243981</v>
      </c>
      <c r="C40" s="56" t="s">
        <v>157</v>
      </c>
      <c r="D40" s="80" t="s">
        <v>158</v>
      </c>
      <c r="E40" s="18" t="s">
        <v>958</v>
      </c>
      <c r="F40" s="70"/>
      <c r="G40" s="71"/>
      <c r="H40" s="71"/>
      <c r="I40" s="81"/>
      <c r="J40" s="20">
        <f>SUM(J41:J46)</f>
        <v>195</v>
      </c>
      <c r="K40" s="20">
        <v>140.10846774193499</v>
      </c>
      <c r="L40" s="22">
        <f>SUM(L41:L46)</f>
        <v>27321.151209677417</v>
      </c>
      <c r="M40" s="82"/>
      <c r="N40" s="77"/>
      <c r="O40" s="77"/>
      <c r="P40" s="73"/>
      <c r="R40" s="76"/>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row>
    <row r="41" spans="1:49" s="48" customFormat="1" ht="12.75" customHeight="1" x14ac:dyDescent="0.25">
      <c r="A41" s="33" t="s">
        <v>136</v>
      </c>
      <c r="B41" s="51" t="s">
        <v>159</v>
      </c>
      <c r="C41" s="35" t="s">
        <v>160</v>
      </c>
      <c r="D41" s="66" t="s">
        <v>141</v>
      </c>
      <c r="E41" s="37" t="s">
        <v>54</v>
      </c>
      <c r="F41" s="38" t="s">
        <v>55</v>
      </c>
      <c r="G41" s="84"/>
      <c r="H41" s="40" t="s">
        <v>56</v>
      </c>
      <c r="I41" s="42"/>
      <c r="J41" s="83">
        <v>30</v>
      </c>
      <c r="K41" s="42">
        <v>140.10846774193547</v>
      </c>
      <c r="L41" s="42">
        <v>4203.2540322580644</v>
      </c>
      <c r="M41" s="50"/>
      <c r="N41" s="39"/>
      <c r="O41" s="39"/>
      <c r="P41" s="42">
        <v>0</v>
      </c>
      <c r="Q41" s="52"/>
      <c r="S41" s="39"/>
      <c r="T41" s="39"/>
      <c r="U41" s="39"/>
      <c r="V41" s="39"/>
      <c r="W41" s="39"/>
      <c r="X41" s="39"/>
      <c r="Y41" s="39"/>
      <c r="Z41" s="39"/>
      <c r="AA41" s="39"/>
      <c r="AB41" s="39"/>
      <c r="AC41" s="39"/>
      <c r="AD41" s="39"/>
      <c r="AE41" s="39"/>
      <c r="AF41" s="39"/>
      <c r="AG41" s="39"/>
      <c r="AH41" s="39"/>
      <c r="AI41" s="39"/>
      <c r="AJ41" s="39"/>
      <c r="AK41" s="39"/>
      <c r="AL41" s="39"/>
      <c r="AM41" s="39"/>
      <c r="AN41" s="39"/>
      <c r="AO41" s="39"/>
      <c r="AP41" s="39"/>
      <c r="AQ41" s="39"/>
      <c r="AR41" s="39"/>
      <c r="AS41" s="39"/>
      <c r="AT41" s="39"/>
      <c r="AU41" s="39"/>
      <c r="AV41" s="39"/>
      <c r="AW41" s="39"/>
    </row>
    <row r="42" spans="1:49" s="48" customFormat="1" ht="12.75" customHeight="1" x14ac:dyDescent="0.25">
      <c r="A42" s="33" t="s">
        <v>136</v>
      </c>
      <c r="B42" s="51" t="s">
        <v>161</v>
      </c>
      <c r="C42" s="35" t="s">
        <v>162</v>
      </c>
      <c r="D42" s="85" t="s">
        <v>144</v>
      </c>
      <c r="E42" s="37" t="s">
        <v>54</v>
      </c>
      <c r="F42" s="38" t="s">
        <v>55</v>
      </c>
      <c r="G42" s="84"/>
      <c r="H42" s="40" t="s">
        <v>56</v>
      </c>
      <c r="I42" s="42"/>
      <c r="J42" s="83">
        <v>40</v>
      </c>
      <c r="K42" s="42">
        <v>140.10846774193547</v>
      </c>
      <c r="L42" s="42">
        <v>5604.3387096774186</v>
      </c>
      <c r="M42" s="50"/>
      <c r="N42" s="39"/>
      <c r="O42" s="39"/>
      <c r="P42" s="42">
        <v>0</v>
      </c>
      <c r="Q42" s="52"/>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row>
    <row r="43" spans="1:49" s="48" customFormat="1" ht="12.75" customHeight="1" x14ac:dyDescent="0.25">
      <c r="A43" s="33" t="s">
        <v>136</v>
      </c>
      <c r="B43" s="51" t="s">
        <v>163</v>
      </c>
      <c r="C43" s="35" t="s">
        <v>164</v>
      </c>
      <c r="D43" s="66" t="s">
        <v>147</v>
      </c>
      <c r="E43" s="37" t="s">
        <v>54</v>
      </c>
      <c r="F43" s="38" t="s">
        <v>55</v>
      </c>
      <c r="G43" s="84"/>
      <c r="H43" s="40" t="s">
        <v>56</v>
      </c>
      <c r="I43" s="42"/>
      <c r="J43" s="83">
        <v>50</v>
      </c>
      <c r="K43" s="42">
        <v>140.10846774193547</v>
      </c>
      <c r="L43" s="42">
        <v>7005.4233870967737</v>
      </c>
      <c r="M43" s="50"/>
      <c r="N43" s="39"/>
      <c r="O43" s="39"/>
      <c r="P43" s="42">
        <v>0</v>
      </c>
      <c r="Q43" s="52"/>
      <c r="S43" s="39"/>
      <c r="T43" s="39"/>
      <c r="U43" s="39"/>
      <c r="V43" s="39"/>
      <c r="W43" s="39"/>
      <c r="X43" s="39"/>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row>
    <row r="44" spans="1:49" s="48" customFormat="1" ht="12.75" customHeight="1" x14ac:dyDescent="0.25">
      <c r="A44" s="33" t="s">
        <v>136</v>
      </c>
      <c r="B44" s="51" t="s">
        <v>165</v>
      </c>
      <c r="C44" s="35" t="s">
        <v>166</v>
      </c>
      <c r="D44" s="66" t="s">
        <v>150</v>
      </c>
      <c r="E44" s="37" t="s">
        <v>54</v>
      </c>
      <c r="F44" s="38" t="s">
        <v>55</v>
      </c>
      <c r="G44" s="84"/>
      <c r="H44" s="40" t="s">
        <v>56</v>
      </c>
      <c r="I44" s="42"/>
      <c r="J44" s="83">
        <v>30</v>
      </c>
      <c r="K44" s="42">
        <v>140.10846774193547</v>
      </c>
      <c r="L44" s="42">
        <v>4203.2540322580644</v>
      </c>
      <c r="M44" s="50"/>
      <c r="N44" s="39"/>
      <c r="O44" s="39"/>
      <c r="P44" s="42">
        <v>0</v>
      </c>
      <c r="Q44" s="52"/>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row>
    <row r="45" spans="1:49" s="48" customFormat="1" ht="12.75" customHeight="1" x14ac:dyDescent="0.25">
      <c r="A45" s="33" t="s">
        <v>136</v>
      </c>
      <c r="B45" s="51" t="s">
        <v>167</v>
      </c>
      <c r="C45" s="35" t="s">
        <v>168</v>
      </c>
      <c r="D45" s="66" t="s">
        <v>153</v>
      </c>
      <c r="E45" s="37" t="s">
        <v>54</v>
      </c>
      <c r="F45" s="38" t="s">
        <v>55</v>
      </c>
      <c r="G45" s="84"/>
      <c r="H45" s="40" t="s">
        <v>56</v>
      </c>
      <c r="I45" s="42"/>
      <c r="J45" s="83">
        <v>30</v>
      </c>
      <c r="K45" s="42">
        <v>140.10846774193547</v>
      </c>
      <c r="L45" s="42">
        <v>4203.2540322580644</v>
      </c>
      <c r="M45" s="50"/>
      <c r="N45" s="39"/>
      <c r="O45" s="39"/>
      <c r="P45" s="42">
        <v>0</v>
      </c>
      <c r="Q45" s="52"/>
      <c r="S45" s="39"/>
      <c r="T45" s="39"/>
      <c r="U45" s="39"/>
      <c r="V45" s="39"/>
      <c r="W45" s="39"/>
      <c r="X45" s="39"/>
      <c r="Y45" s="39"/>
      <c r="Z45" s="39"/>
      <c r="AA45" s="39"/>
      <c r="AB45" s="39"/>
      <c r="AC45" s="39"/>
      <c r="AD45" s="39"/>
      <c r="AE45" s="39"/>
      <c r="AF45" s="39"/>
      <c r="AG45" s="39"/>
      <c r="AH45" s="39"/>
      <c r="AI45" s="39"/>
      <c r="AJ45" s="39"/>
      <c r="AK45" s="39"/>
      <c r="AL45" s="39"/>
      <c r="AM45" s="39"/>
      <c r="AN45" s="39"/>
      <c r="AO45" s="39"/>
      <c r="AP45" s="39"/>
      <c r="AQ45" s="39"/>
      <c r="AR45" s="39"/>
      <c r="AS45" s="39"/>
      <c r="AT45" s="39"/>
      <c r="AU45" s="39"/>
      <c r="AV45" s="39"/>
      <c r="AW45" s="39"/>
    </row>
    <row r="46" spans="1:49" s="48" customFormat="1" ht="12.75" customHeight="1" x14ac:dyDescent="0.25">
      <c r="A46" s="33" t="s">
        <v>136</v>
      </c>
      <c r="B46" s="51" t="s">
        <v>169</v>
      </c>
      <c r="C46" s="35" t="s">
        <v>170</v>
      </c>
      <c r="D46" s="86" t="s">
        <v>156</v>
      </c>
      <c r="E46" s="37" t="s">
        <v>54</v>
      </c>
      <c r="F46" s="38" t="s">
        <v>55</v>
      </c>
      <c r="G46" s="84"/>
      <c r="H46" s="40" t="s">
        <v>56</v>
      </c>
      <c r="I46" s="42"/>
      <c r="J46" s="83">
        <v>15</v>
      </c>
      <c r="K46" s="42">
        <v>140.10846774193547</v>
      </c>
      <c r="L46" s="42">
        <v>2101.6270161290322</v>
      </c>
      <c r="M46" s="50"/>
      <c r="N46" s="39"/>
      <c r="O46" s="39"/>
      <c r="P46" s="42">
        <v>0</v>
      </c>
      <c r="Q46" s="52"/>
      <c r="S46" s="39"/>
      <c r="T46" s="39"/>
      <c r="U46" s="39"/>
      <c r="V46" s="39"/>
      <c r="W46" s="39"/>
      <c r="X46" s="39"/>
      <c r="Y46" s="39"/>
      <c r="Z46" s="39"/>
      <c r="AA46" s="39"/>
      <c r="AB46" s="39"/>
      <c r="AC46" s="39"/>
      <c r="AD46" s="39"/>
      <c r="AE46" s="39"/>
      <c r="AF46" s="39"/>
      <c r="AG46" s="39"/>
      <c r="AH46" s="39"/>
      <c r="AI46" s="39"/>
      <c r="AJ46" s="39"/>
      <c r="AK46" s="39"/>
      <c r="AL46" s="39"/>
      <c r="AM46" s="39"/>
      <c r="AN46" s="39"/>
      <c r="AO46" s="39"/>
      <c r="AP46" s="39"/>
      <c r="AQ46" s="39"/>
      <c r="AR46" s="39"/>
      <c r="AS46" s="39"/>
      <c r="AT46" s="39"/>
      <c r="AU46" s="39"/>
      <c r="AV46" s="39"/>
      <c r="AW46" s="39"/>
    </row>
    <row r="47" spans="1:49" s="75" customFormat="1" ht="12.75" customHeight="1" x14ac:dyDescent="0.25">
      <c r="A47" s="14" t="s">
        <v>136</v>
      </c>
      <c r="B47" s="15">
        <v>28243981</v>
      </c>
      <c r="C47" s="56" t="s">
        <v>171</v>
      </c>
      <c r="D47" s="80" t="s">
        <v>172</v>
      </c>
      <c r="E47" s="18" t="s">
        <v>958</v>
      </c>
      <c r="F47" s="70"/>
      <c r="G47" s="71"/>
      <c r="H47" s="71"/>
      <c r="I47" s="81"/>
      <c r="J47" s="20">
        <f>SUM(J48:J53)</f>
        <v>205</v>
      </c>
      <c r="K47" s="20">
        <v>140.10846774193499</v>
      </c>
      <c r="L47" s="22">
        <f>SUM(L48:L53)</f>
        <v>28722.235887096773</v>
      </c>
      <c r="M47" s="82"/>
      <c r="N47" s="77"/>
      <c r="O47" s="77"/>
      <c r="P47" s="73"/>
      <c r="R47" s="76"/>
      <c r="S47" s="77"/>
      <c r="T47" s="77"/>
      <c r="U47" s="77"/>
      <c r="V47" s="77"/>
      <c r="W47" s="77"/>
      <c r="X47" s="77"/>
      <c r="Y47" s="77"/>
      <c r="Z47" s="77"/>
      <c r="AA47" s="77"/>
      <c r="AB47" s="77"/>
      <c r="AC47" s="77"/>
      <c r="AD47" s="77"/>
      <c r="AE47" s="77"/>
      <c r="AF47" s="77"/>
      <c r="AG47" s="77"/>
      <c r="AH47" s="77"/>
      <c r="AI47" s="77"/>
      <c r="AJ47" s="77"/>
      <c r="AK47" s="77"/>
      <c r="AL47" s="77"/>
      <c r="AM47" s="77"/>
      <c r="AN47" s="77"/>
      <c r="AO47" s="77"/>
      <c r="AP47" s="77"/>
      <c r="AQ47" s="77"/>
      <c r="AR47" s="77"/>
      <c r="AS47" s="77"/>
      <c r="AT47" s="77"/>
      <c r="AU47" s="77"/>
      <c r="AV47" s="77"/>
      <c r="AW47" s="77"/>
    </row>
    <row r="48" spans="1:49" s="48" customFormat="1" ht="12.75" customHeight="1" x14ac:dyDescent="0.25">
      <c r="A48" s="33" t="s">
        <v>136</v>
      </c>
      <c r="B48" s="51" t="s">
        <v>173</v>
      </c>
      <c r="C48" s="35" t="s">
        <v>174</v>
      </c>
      <c r="D48" s="66" t="s">
        <v>141</v>
      </c>
      <c r="E48" s="37" t="s">
        <v>54</v>
      </c>
      <c r="F48" s="38" t="s">
        <v>55</v>
      </c>
      <c r="G48" s="84"/>
      <c r="H48" s="40" t="s">
        <v>56</v>
      </c>
      <c r="I48" s="42"/>
      <c r="J48" s="83">
        <v>30</v>
      </c>
      <c r="K48" s="42">
        <v>140.10846774193547</v>
      </c>
      <c r="L48" s="42">
        <v>4203.2540322580644</v>
      </c>
      <c r="M48" s="50"/>
      <c r="N48" s="39"/>
      <c r="O48" s="39"/>
      <c r="P48" s="42">
        <v>0</v>
      </c>
      <c r="Q48" s="52"/>
      <c r="S48" s="39"/>
      <c r="T48" s="39"/>
      <c r="U48" s="39"/>
      <c r="V48" s="39"/>
      <c r="W48" s="39"/>
      <c r="X48" s="39"/>
      <c r="Y48" s="39"/>
      <c r="Z48" s="39"/>
      <c r="AA48" s="39"/>
      <c r="AB48" s="39"/>
      <c r="AC48" s="39"/>
      <c r="AD48" s="39"/>
      <c r="AE48" s="39"/>
      <c r="AF48" s="39"/>
      <c r="AG48" s="39"/>
      <c r="AH48" s="39"/>
      <c r="AI48" s="39"/>
      <c r="AJ48" s="39"/>
      <c r="AK48" s="39"/>
      <c r="AL48" s="39"/>
      <c r="AM48" s="39"/>
      <c r="AN48" s="39"/>
      <c r="AO48" s="39"/>
      <c r="AP48" s="39"/>
      <c r="AQ48" s="39"/>
      <c r="AR48" s="39"/>
      <c r="AS48" s="39"/>
      <c r="AT48" s="39"/>
      <c r="AU48" s="39"/>
      <c r="AV48" s="39"/>
      <c r="AW48" s="39"/>
    </row>
    <row r="49" spans="1:49" s="48" customFormat="1" ht="12.75" customHeight="1" x14ac:dyDescent="0.25">
      <c r="A49" s="33" t="s">
        <v>136</v>
      </c>
      <c r="B49" s="51" t="s">
        <v>175</v>
      </c>
      <c r="C49" s="35" t="s">
        <v>176</v>
      </c>
      <c r="D49" s="85" t="s">
        <v>144</v>
      </c>
      <c r="E49" s="37" t="s">
        <v>54</v>
      </c>
      <c r="F49" s="38" t="s">
        <v>55</v>
      </c>
      <c r="G49" s="84"/>
      <c r="H49" s="40" t="s">
        <v>56</v>
      </c>
      <c r="I49" s="42"/>
      <c r="J49" s="83">
        <v>40</v>
      </c>
      <c r="K49" s="42">
        <v>140.10846774193547</v>
      </c>
      <c r="L49" s="42">
        <v>5604.3387096774186</v>
      </c>
      <c r="M49" s="50"/>
      <c r="N49" s="39"/>
      <c r="O49" s="39"/>
      <c r="P49" s="42">
        <v>0</v>
      </c>
      <c r="Q49" s="52"/>
      <c r="S49" s="39"/>
      <c r="T49" s="39"/>
      <c r="U49" s="39"/>
      <c r="V49" s="39"/>
      <c r="W49" s="39"/>
      <c r="X49" s="39"/>
      <c r="Y49" s="39"/>
      <c r="Z49" s="39"/>
      <c r="AA49" s="39"/>
      <c r="AB49" s="39"/>
      <c r="AC49" s="39"/>
      <c r="AD49" s="39"/>
      <c r="AE49" s="39"/>
      <c r="AF49" s="39"/>
      <c r="AG49" s="39"/>
      <c r="AH49" s="39"/>
      <c r="AI49" s="39"/>
      <c r="AJ49" s="39"/>
      <c r="AK49" s="39"/>
      <c r="AL49" s="39"/>
      <c r="AM49" s="39"/>
      <c r="AN49" s="39"/>
      <c r="AO49" s="39"/>
      <c r="AP49" s="39"/>
      <c r="AQ49" s="39"/>
      <c r="AR49" s="39"/>
      <c r="AS49" s="39"/>
      <c r="AT49" s="39"/>
      <c r="AU49" s="39"/>
      <c r="AV49" s="39"/>
      <c r="AW49" s="39"/>
    </row>
    <row r="50" spans="1:49" s="48" customFormat="1" ht="12.75" customHeight="1" x14ac:dyDescent="0.25">
      <c r="A50" s="33" t="s">
        <v>136</v>
      </c>
      <c r="B50" s="51" t="s">
        <v>177</v>
      </c>
      <c r="C50" s="35" t="s">
        <v>178</v>
      </c>
      <c r="D50" s="66" t="s">
        <v>147</v>
      </c>
      <c r="E50" s="37" t="s">
        <v>54</v>
      </c>
      <c r="F50" s="38" t="s">
        <v>55</v>
      </c>
      <c r="G50" s="84"/>
      <c r="H50" s="40" t="s">
        <v>56</v>
      </c>
      <c r="I50" s="42"/>
      <c r="J50" s="83">
        <v>60</v>
      </c>
      <c r="K50" s="42">
        <v>140.10846774193547</v>
      </c>
      <c r="L50" s="42">
        <v>8406.5080645161288</v>
      </c>
      <c r="M50" s="50"/>
      <c r="N50" s="39"/>
      <c r="O50" s="39"/>
      <c r="P50" s="42">
        <v>0</v>
      </c>
      <c r="Q50" s="52"/>
      <c r="S50" s="39"/>
      <c r="T50" s="39"/>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row>
    <row r="51" spans="1:49" s="48" customFormat="1" ht="12.75" customHeight="1" x14ac:dyDescent="0.25">
      <c r="A51" s="33" t="s">
        <v>136</v>
      </c>
      <c r="B51" s="51" t="s">
        <v>179</v>
      </c>
      <c r="C51" s="35" t="s">
        <v>180</v>
      </c>
      <c r="D51" s="66" t="s">
        <v>150</v>
      </c>
      <c r="E51" s="37" t="s">
        <v>54</v>
      </c>
      <c r="F51" s="38" t="s">
        <v>55</v>
      </c>
      <c r="G51" s="84"/>
      <c r="H51" s="40" t="s">
        <v>56</v>
      </c>
      <c r="I51" s="42"/>
      <c r="J51" s="83">
        <v>30</v>
      </c>
      <c r="K51" s="42">
        <v>140.10846774193547</v>
      </c>
      <c r="L51" s="42">
        <v>4203.2540322580644</v>
      </c>
      <c r="M51" s="50"/>
      <c r="N51" s="39"/>
      <c r="O51" s="39"/>
      <c r="P51" s="42">
        <v>0</v>
      </c>
      <c r="Q51" s="52"/>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row>
    <row r="52" spans="1:49" s="48" customFormat="1" ht="12.75" customHeight="1" x14ac:dyDescent="0.25">
      <c r="A52" s="33" t="s">
        <v>136</v>
      </c>
      <c r="B52" s="51" t="s">
        <v>181</v>
      </c>
      <c r="C52" s="35" t="s">
        <v>182</v>
      </c>
      <c r="D52" s="66" t="s">
        <v>153</v>
      </c>
      <c r="E52" s="37" t="s">
        <v>54</v>
      </c>
      <c r="F52" s="38" t="s">
        <v>55</v>
      </c>
      <c r="G52" s="84"/>
      <c r="H52" s="40" t="s">
        <v>56</v>
      </c>
      <c r="I52" s="42"/>
      <c r="J52" s="83">
        <v>30</v>
      </c>
      <c r="K52" s="42">
        <v>140.10846774193547</v>
      </c>
      <c r="L52" s="42">
        <v>4203.2540322580644</v>
      </c>
      <c r="M52" s="50"/>
      <c r="N52" s="39"/>
      <c r="O52" s="39"/>
      <c r="P52" s="42">
        <v>0</v>
      </c>
      <c r="Q52" s="52"/>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row>
    <row r="53" spans="1:49" s="48" customFormat="1" ht="12.75" customHeight="1" x14ac:dyDescent="0.25">
      <c r="A53" s="33" t="s">
        <v>136</v>
      </c>
      <c r="B53" s="51" t="s">
        <v>183</v>
      </c>
      <c r="C53" s="35" t="s">
        <v>184</v>
      </c>
      <c r="D53" s="86" t="s">
        <v>156</v>
      </c>
      <c r="E53" s="37" t="s">
        <v>54</v>
      </c>
      <c r="F53" s="38" t="s">
        <v>55</v>
      </c>
      <c r="G53" s="84"/>
      <c r="H53" s="40" t="s">
        <v>56</v>
      </c>
      <c r="I53" s="42"/>
      <c r="J53" s="83">
        <v>15</v>
      </c>
      <c r="K53" s="42">
        <v>140.10846774193547</v>
      </c>
      <c r="L53" s="42">
        <v>2101.6270161290322</v>
      </c>
      <c r="M53" s="50"/>
      <c r="N53" s="39"/>
      <c r="O53" s="39"/>
      <c r="P53" s="42">
        <v>0</v>
      </c>
      <c r="Q53" s="52"/>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row>
    <row r="54" spans="1:49" s="75" customFormat="1" ht="12.75" customHeight="1" x14ac:dyDescent="0.25">
      <c r="A54" s="14" t="s">
        <v>136</v>
      </c>
      <c r="B54" s="15">
        <v>28243981</v>
      </c>
      <c r="C54" s="56" t="s">
        <v>185</v>
      </c>
      <c r="D54" s="80" t="s">
        <v>186</v>
      </c>
      <c r="E54" s="18" t="s">
        <v>958</v>
      </c>
      <c r="F54" s="70"/>
      <c r="G54" s="71"/>
      <c r="H54" s="71"/>
      <c r="I54" s="81"/>
      <c r="J54" s="20">
        <f>SUM(J55:J60)</f>
        <v>195</v>
      </c>
      <c r="K54" s="20">
        <v>140.10846774193499</v>
      </c>
      <c r="L54" s="22">
        <f>SUM(L55:L60)</f>
        <v>27321.151209677417</v>
      </c>
      <c r="M54" s="82"/>
      <c r="N54" s="77"/>
      <c r="O54" s="77"/>
      <c r="P54" s="73"/>
      <c r="R54" s="76"/>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7"/>
      <c r="AV54" s="77"/>
      <c r="AW54" s="77"/>
    </row>
    <row r="55" spans="1:49" s="48" customFormat="1" ht="12.75" customHeight="1" x14ac:dyDescent="0.25">
      <c r="A55" s="33" t="s">
        <v>136</v>
      </c>
      <c r="B55" s="51" t="s">
        <v>187</v>
      </c>
      <c r="C55" s="35" t="s">
        <v>188</v>
      </c>
      <c r="D55" s="66" t="s">
        <v>141</v>
      </c>
      <c r="E55" s="37" t="s">
        <v>54</v>
      </c>
      <c r="F55" s="38" t="s">
        <v>55</v>
      </c>
      <c r="G55" s="84"/>
      <c r="H55" s="40" t="s">
        <v>56</v>
      </c>
      <c r="I55" s="42"/>
      <c r="J55" s="83">
        <v>30</v>
      </c>
      <c r="K55" s="42">
        <v>140.10846774193547</v>
      </c>
      <c r="L55" s="42">
        <v>4203.2540322580644</v>
      </c>
      <c r="M55" s="50"/>
      <c r="N55" s="39"/>
      <c r="O55" s="39"/>
      <c r="P55" s="42">
        <v>0</v>
      </c>
      <c r="Q55" s="52"/>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row>
    <row r="56" spans="1:49" s="48" customFormat="1" ht="12.75" customHeight="1" x14ac:dyDescent="0.25">
      <c r="A56" s="33" t="s">
        <v>136</v>
      </c>
      <c r="B56" s="51" t="s">
        <v>189</v>
      </c>
      <c r="C56" s="35" t="s">
        <v>190</v>
      </c>
      <c r="D56" s="85" t="s">
        <v>144</v>
      </c>
      <c r="E56" s="37" t="s">
        <v>54</v>
      </c>
      <c r="F56" s="38" t="s">
        <v>55</v>
      </c>
      <c r="G56" s="84"/>
      <c r="H56" s="40" t="s">
        <v>56</v>
      </c>
      <c r="I56" s="42"/>
      <c r="J56" s="83">
        <v>40</v>
      </c>
      <c r="K56" s="42">
        <v>140.10846774193547</v>
      </c>
      <c r="L56" s="42">
        <v>5604.3387096774186</v>
      </c>
      <c r="M56" s="50"/>
      <c r="N56" s="39"/>
      <c r="O56" s="39"/>
      <c r="P56" s="42">
        <v>0</v>
      </c>
      <c r="Q56" s="52"/>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39"/>
      <c r="AU56" s="39"/>
      <c r="AV56" s="39"/>
      <c r="AW56" s="39"/>
    </row>
    <row r="57" spans="1:49" s="48" customFormat="1" ht="12.75" customHeight="1" x14ac:dyDescent="0.25">
      <c r="A57" s="33" t="s">
        <v>136</v>
      </c>
      <c r="B57" s="51" t="s">
        <v>191</v>
      </c>
      <c r="C57" s="35" t="s">
        <v>192</v>
      </c>
      <c r="D57" s="66" t="s">
        <v>147</v>
      </c>
      <c r="E57" s="37" t="s">
        <v>54</v>
      </c>
      <c r="F57" s="38" t="s">
        <v>55</v>
      </c>
      <c r="G57" s="84"/>
      <c r="H57" s="40" t="s">
        <v>56</v>
      </c>
      <c r="I57" s="42"/>
      <c r="J57" s="83">
        <v>50</v>
      </c>
      <c r="K57" s="42">
        <v>140.10846774193547</v>
      </c>
      <c r="L57" s="42">
        <v>7005.4233870967737</v>
      </c>
      <c r="M57" s="50"/>
      <c r="N57" s="39"/>
      <c r="O57" s="39"/>
      <c r="P57" s="42">
        <v>0</v>
      </c>
      <c r="Q57" s="52"/>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39"/>
      <c r="AU57" s="39"/>
      <c r="AV57" s="39"/>
      <c r="AW57" s="39"/>
    </row>
    <row r="58" spans="1:49" s="48" customFormat="1" ht="12.75" customHeight="1" x14ac:dyDescent="0.25">
      <c r="A58" s="33" t="s">
        <v>136</v>
      </c>
      <c r="B58" s="51" t="s">
        <v>193</v>
      </c>
      <c r="C58" s="35" t="s">
        <v>194</v>
      </c>
      <c r="D58" s="66" t="s">
        <v>150</v>
      </c>
      <c r="E58" s="37" t="s">
        <v>54</v>
      </c>
      <c r="F58" s="38" t="s">
        <v>55</v>
      </c>
      <c r="G58" s="84"/>
      <c r="H58" s="40" t="s">
        <v>56</v>
      </c>
      <c r="I58" s="42"/>
      <c r="J58" s="83">
        <v>30</v>
      </c>
      <c r="K58" s="42">
        <v>140.10846774193547</v>
      </c>
      <c r="L58" s="42">
        <v>4203.2540322580644</v>
      </c>
      <c r="M58" s="50"/>
      <c r="N58" s="39"/>
      <c r="O58" s="39"/>
      <c r="P58" s="42">
        <v>0</v>
      </c>
      <c r="Q58" s="52"/>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39"/>
      <c r="AU58" s="39"/>
      <c r="AV58" s="39"/>
      <c r="AW58" s="39"/>
    </row>
    <row r="59" spans="1:49" s="48" customFormat="1" ht="12.75" customHeight="1" x14ac:dyDescent="0.25">
      <c r="A59" s="33" t="s">
        <v>136</v>
      </c>
      <c r="B59" s="51" t="s">
        <v>195</v>
      </c>
      <c r="C59" s="35" t="s">
        <v>196</v>
      </c>
      <c r="D59" s="66" t="s">
        <v>153</v>
      </c>
      <c r="E59" s="37" t="s">
        <v>54</v>
      </c>
      <c r="F59" s="38" t="s">
        <v>55</v>
      </c>
      <c r="G59" s="84"/>
      <c r="H59" s="40" t="s">
        <v>56</v>
      </c>
      <c r="I59" s="42"/>
      <c r="J59" s="83">
        <v>30</v>
      </c>
      <c r="K59" s="42">
        <v>140.10846774193547</v>
      </c>
      <c r="L59" s="42">
        <v>4203.2540322580644</v>
      </c>
      <c r="M59" s="50"/>
      <c r="N59" s="39"/>
      <c r="O59" s="39"/>
      <c r="P59" s="42">
        <v>0</v>
      </c>
      <c r="Q59" s="52"/>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39"/>
      <c r="AU59" s="39"/>
      <c r="AV59" s="39"/>
      <c r="AW59" s="39"/>
    </row>
    <row r="60" spans="1:49" s="48" customFormat="1" ht="12.75" customHeight="1" x14ac:dyDescent="0.25">
      <c r="A60" s="33" t="s">
        <v>136</v>
      </c>
      <c r="B60" s="51" t="s">
        <v>197</v>
      </c>
      <c r="C60" s="35" t="s">
        <v>198</v>
      </c>
      <c r="D60" s="86" t="s">
        <v>156</v>
      </c>
      <c r="E60" s="37" t="s">
        <v>54</v>
      </c>
      <c r="F60" s="38" t="s">
        <v>55</v>
      </c>
      <c r="G60" s="84"/>
      <c r="H60" s="40" t="s">
        <v>56</v>
      </c>
      <c r="I60" s="42"/>
      <c r="J60" s="83">
        <v>15</v>
      </c>
      <c r="K60" s="42">
        <v>140.10846774193547</v>
      </c>
      <c r="L60" s="42">
        <v>2101.6270161290322</v>
      </c>
      <c r="M60" s="50"/>
      <c r="N60" s="39"/>
      <c r="O60" s="39"/>
      <c r="P60" s="42">
        <v>0</v>
      </c>
      <c r="Q60" s="52"/>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39"/>
      <c r="AU60" s="39"/>
      <c r="AV60" s="39"/>
      <c r="AW60" s="39"/>
    </row>
    <row r="61" spans="1:49" s="75" customFormat="1" ht="12.75" customHeight="1" x14ac:dyDescent="0.25">
      <c r="A61" s="14" t="s">
        <v>136</v>
      </c>
      <c r="B61" s="15">
        <v>28243981</v>
      </c>
      <c r="C61" s="56" t="s">
        <v>199</v>
      </c>
      <c r="D61" s="80" t="s">
        <v>200</v>
      </c>
      <c r="E61" s="18" t="s">
        <v>958</v>
      </c>
      <c r="F61" s="70"/>
      <c r="G61" s="71"/>
      <c r="H61" s="71"/>
      <c r="I61" s="81"/>
      <c r="J61" s="20">
        <f>SUM(J62:J68)</f>
        <v>205</v>
      </c>
      <c r="K61" s="20">
        <v>140.10846774193499</v>
      </c>
      <c r="L61" s="22">
        <f>SUM(L62:L68)</f>
        <v>28722.235887096769</v>
      </c>
      <c r="M61" s="82"/>
      <c r="N61" s="77"/>
      <c r="O61" s="77"/>
      <c r="P61" s="73"/>
      <c r="R61" s="76"/>
      <c r="S61" s="77"/>
      <c r="T61" s="77"/>
      <c r="U61" s="77"/>
      <c r="V61" s="77"/>
      <c r="W61" s="77"/>
      <c r="X61" s="77"/>
      <c r="Y61" s="77"/>
      <c r="Z61" s="77"/>
      <c r="AA61" s="77"/>
      <c r="AB61" s="77"/>
      <c r="AC61" s="77"/>
      <c r="AD61" s="77"/>
      <c r="AE61" s="77"/>
      <c r="AF61" s="77"/>
      <c r="AG61" s="77"/>
      <c r="AH61" s="77"/>
      <c r="AI61" s="77"/>
      <c r="AJ61" s="77"/>
      <c r="AK61" s="77"/>
      <c r="AL61" s="77"/>
      <c r="AM61" s="77"/>
      <c r="AN61" s="77"/>
      <c r="AO61" s="77"/>
      <c r="AP61" s="77"/>
      <c r="AQ61" s="77"/>
      <c r="AR61" s="77"/>
      <c r="AS61" s="77"/>
      <c r="AT61" s="77"/>
      <c r="AU61" s="77"/>
      <c r="AV61" s="77"/>
      <c r="AW61" s="77"/>
    </row>
    <row r="62" spans="1:49" s="48" customFormat="1" ht="12.75" customHeight="1" x14ac:dyDescent="0.25">
      <c r="A62" s="33" t="s">
        <v>136</v>
      </c>
      <c r="B62" s="51" t="s">
        <v>201</v>
      </c>
      <c r="C62" s="35" t="s">
        <v>202</v>
      </c>
      <c r="D62" s="66" t="s">
        <v>141</v>
      </c>
      <c r="E62" s="37" t="s">
        <v>54</v>
      </c>
      <c r="F62" s="38" t="s">
        <v>55</v>
      </c>
      <c r="G62" s="84"/>
      <c r="H62" s="40" t="s">
        <v>56</v>
      </c>
      <c r="I62" s="42"/>
      <c r="J62" s="83">
        <v>25</v>
      </c>
      <c r="K62" s="42">
        <v>140.10846774193547</v>
      </c>
      <c r="L62" s="42">
        <v>3502.7116935483868</v>
      </c>
      <c r="M62" s="50"/>
      <c r="N62" s="39"/>
      <c r="O62" s="39"/>
      <c r="P62" s="42">
        <v>0</v>
      </c>
      <c r="Q62" s="52"/>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row>
    <row r="63" spans="1:49" s="48" customFormat="1" ht="12.75" customHeight="1" x14ac:dyDescent="0.25">
      <c r="A63" s="33" t="s">
        <v>136</v>
      </c>
      <c r="B63" s="51" t="s">
        <v>203</v>
      </c>
      <c r="C63" s="35" t="s">
        <v>204</v>
      </c>
      <c r="D63" s="85" t="s">
        <v>144</v>
      </c>
      <c r="E63" s="37" t="s">
        <v>54</v>
      </c>
      <c r="F63" s="38" t="s">
        <v>55</v>
      </c>
      <c r="G63" s="84"/>
      <c r="H63" s="40" t="s">
        <v>56</v>
      </c>
      <c r="I63" s="42"/>
      <c r="J63" s="83">
        <v>40</v>
      </c>
      <c r="K63" s="42">
        <v>140.10846774193547</v>
      </c>
      <c r="L63" s="42">
        <v>5604.3387096774186</v>
      </c>
      <c r="M63" s="50"/>
      <c r="N63" s="39"/>
      <c r="O63" s="39"/>
      <c r="P63" s="42">
        <v>0</v>
      </c>
      <c r="Q63" s="52"/>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39"/>
      <c r="AU63" s="39"/>
      <c r="AV63" s="39"/>
      <c r="AW63" s="39"/>
    </row>
    <row r="64" spans="1:49" s="48" customFormat="1" ht="12.75" customHeight="1" x14ac:dyDescent="0.25">
      <c r="A64" s="33" t="s">
        <v>136</v>
      </c>
      <c r="B64" s="51" t="s">
        <v>205</v>
      </c>
      <c r="C64" s="35" t="s">
        <v>206</v>
      </c>
      <c r="D64" s="85" t="s">
        <v>207</v>
      </c>
      <c r="E64" s="37" t="s">
        <v>54</v>
      </c>
      <c r="F64" s="38" t="s">
        <v>55</v>
      </c>
      <c r="G64" s="84"/>
      <c r="H64" s="40" t="s">
        <v>56</v>
      </c>
      <c r="I64" s="42"/>
      <c r="J64" s="83">
        <v>8</v>
      </c>
      <c r="K64" s="42">
        <v>140.10846774193547</v>
      </c>
      <c r="L64" s="42">
        <v>1120.8677419354838</v>
      </c>
      <c r="M64" s="50"/>
      <c r="N64" s="39"/>
      <c r="O64" s="39"/>
      <c r="P64" s="42">
        <v>0</v>
      </c>
      <c r="Q64" s="52"/>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39"/>
      <c r="AW64" s="39"/>
    </row>
    <row r="65" spans="1:49" s="48" customFormat="1" ht="12.75" customHeight="1" x14ac:dyDescent="0.25">
      <c r="A65" s="33" t="s">
        <v>136</v>
      </c>
      <c r="B65" s="51" t="s">
        <v>208</v>
      </c>
      <c r="C65" s="35" t="s">
        <v>209</v>
      </c>
      <c r="D65" s="66" t="s">
        <v>147</v>
      </c>
      <c r="E65" s="37" t="s">
        <v>54</v>
      </c>
      <c r="F65" s="38" t="s">
        <v>55</v>
      </c>
      <c r="G65" s="84"/>
      <c r="H65" s="40" t="s">
        <v>56</v>
      </c>
      <c r="I65" s="42"/>
      <c r="J65" s="83">
        <v>40</v>
      </c>
      <c r="K65" s="42">
        <v>140.10846774193547</v>
      </c>
      <c r="L65" s="42">
        <v>5604.3387096774186</v>
      </c>
      <c r="M65" s="50"/>
      <c r="N65" s="39"/>
      <c r="O65" s="39"/>
      <c r="P65" s="42">
        <v>0</v>
      </c>
      <c r="Q65" s="52"/>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39"/>
      <c r="AU65" s="39"/>
      <c r="AV65" s="39"/>
      <c r="AW65" s="39"/>
    </row>
    <row r="66" spans="1:49" s="48" customFormat="1" ht="12.75" customHeight="1" x14ac:dyDescent="0.25">
      <c r="A66" s="33" t="s">
        <v>136</v>
      </c>
      <c r="B66" s="51" t="s">
        <v>210</v>
      </c>
      <c r="C66" s="35" t="s">
        <v>211</v>
      </c>
      <c r="D66" s="66" t="s">
        <v>150</v>
      </c>
      <c r="E66" s="37" t="s">
        <v>54</v>
      </c>
      <c r="F66" s="38" t="s">
        <v>55</v>
      </c>
      <c r="G66" s="84"/>
      <c r="H66" s="40" t="s">
        <v>56</v>
      </c>
      <c r="I66" s="42"/>
      <c r="J66" s="83">
        <v>52</v>
      </c>
      <c r="K66" s="42">
        <v>140.10846774193547</v>
      </c>
      <c r="L66" s="42">
        <v>7285.6403225806444</v>
      </c>
      <c r="M66" s="50"/>
      <c r="N66" s="39"/>
      <c r="O66" s="39"/>
      <c r="P66" s="42">
        <v>0</v>
      </c>
      <c r="Q66" s="52"/>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39"/>
      <c r="AU66" s="39"/>
      <c r="AV66" s="39"/>
      <c r="AW66" s="39"/>
    </row>
    <row r="67" spans="1:49" s="48" customFormat="1" ht="12.75" customHeight="1" x14ac:dyDescent="0.25">
      <c r="A67" s="33" t="s">
        <v>136</v>
      </c>
      <c r="B67" s="51" t="s">
        <v>212</v>
      </c>
      <c r="C67" s="35" t="s">
        <v>213</v>
      </c>
      <c r="D67" s="66" t="s">
        <v>153</v>
      </c>
      <c r="E67" s="37" t="s">
        <v>54</v>
      </c>
      <c r="F67" s="38" t="s">
        <v>55</v>
      </c>
      <c r="G67" s="84"/>
      <c r="H67" s="40" t="s">
        <v>56</v>
      </c>
      <c r="I67" s="42"/>
      <c r="J67" s="83">
        <v>20</v>
      </c>
      <c r="K67" s="42">
        <v>140.10846774193547</v>
      </c>
      <c r="L67" s="42">
        <v>2802.1693548387093</v>
      </c>
      <c r="M67" s="50"/>
      <c r="N67" s="39"/>
      <c r="O67" s="39"/>
      <c r="P67" s="42">
        <v>0</v>
      </c>
      <c r="Q67" s="52"/>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39"/>
      <c r="AU67" s="39"/>
      <c r="AV67" s="39"/>
      <c r="AW67" s="39"/>
    </row>
    <row r="68" spans="1:49" s="48" customFormat="1" ht="12.75" customHeight="1" x14ac:dyDescent="0.25">
      <c r="A68" s="33" t="s">
        <v>136</v>
      </c>
      <c r="B68" s="51" t="s">
        <v>214</v>
      </c>
      <c r="C68" s="35" t="s">
        <v>215</v>
      </c>
      <c r="D68" s="86" t="s">
        <v>156</v>
      </c>
      <c r="E68" s="37" t="s">
        <v>54</v>
      </c>
      <c r="F68" s="38" t="s">
        <v>55</v>
      </c>
      <c r="G68" s="84"/>
      <c r="H68" s="40" t="s">
        <v>56</v>
      </c>
      <c r="I68" s="42"/>
      <c r="J68" s="83">
        <v>20</v>
      </c>
      <c r="K68" s="42">
        <v>140.10846774193547</v>
      </c>
      <c r="L68" s="42">
        <v>2802.1693548387093</v>
      </c>
      <c r="M68" s="50"/>
      <c r="N68" s="39"/>
      <c r="O68" s="39"/>
      <c r="P68" s="42">
        <v>0</v>
      </c>
      <c r="Q68" s="52"/>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row>
    <row r="69" spans="1:49" s="75" customFormat="1" ht="12.75" customHeight="1" x14ac:dyDescent="0.25">
      <c r="A69" s="14" t="s">
        <v>136</v>
      </c>
      <c r="B69" s="15">
        <v>28243981</v>
      </c>
      <c r="C69" s="56" t="s">
        <v>216</v>
      </c>
      <c r="D69" s="80" t="s">
        <v>217</v>
      </c>
      <c r="E69" s="18" t="s">
        <v>958</v>
      </c>
      <c r="F69" s="70"/>
      <c r="G69" s="71"/>
      <c r="H69" s="71"/>
      <c r="I69" s="81"/>
      <c r="J69" s="20">
        <f>SUM(J70:J76)</f>
        <v>205</v>
      </c>
      <c r="K69" s="20">
        <v>140.10846774193499</v>
      </c>
      <c r="L69" s="22">
        <f>SUM(L70:L76)</f>
        <v>28722.235887096769</v>
      </c>
      <c r="M69" s="82"/>
      <c r="N69" s="77"/>
      <c r="O69" s="77"/>
      <c r="P69" s="73"/>
      <c r="R69" s="76"/>
      <c r="S69" s="77"/>
      <c r="T69" s="77"/>
      <c r="U69" s="77"/>
      <c r="V69" s="77"/>
      <c r="W69" s="77"/>
      <c r="X69" s="77"/>
      <c r="Y69" s="77"/>
      <c r="Z69" s="77"/>
      <c r="AA69" s="77"/>
      <c r="AB69" s="77"/>
      <c r="AC69" s="77"/>
      <c r="AD69" s="77"/>
      <c r="AE69" s="77"/>
      <c r="AF69" s="77"/>
      <c r="AG69" s="77"/>
      <c r="AH69" s="77"/>
      <c r="AI69" s="77"/>
      <c r="AJ69" s="77"/>
      <c r="AK69" s="77"/>
      <c r="AL69" s="77"/>
      <c r="AM69" s="77"/>
      <c r="AN69" s="77"/>
      <c r="AO69" s="77"/>
      <c r="AP69" s="77"/>
      <c r="AQ69" s="77"/>
      <c r="AR69" s="77"/>
      <c r="AS69" s="77"/>
      <c r="AT69" s="77"/>
      <c r="AU69" s="77"/>
      <c r="AV69" s="77"/>
      <c r="AW69" s="77"/>
    </row>
    <row r="70" spans="1:49" s="48" customFormat="1" ht="12.75" customHeight="1" x14ac:dyDescent="0.25">
      <c r="A70" s="33" t="s">
        <v>136</v>
      </c>
      <c r="B70" s="51" t="s">
        <v>218</v>
      </c>
      <c r="C70" s="35" t="s">
        <v>219</v>
      </c>
      <c r="D70" s="66" t="s">
        <v>141</v>
      </c>
      <c r="E70" s="37" t="s">
        <v>54</v>
      </c>
      <c r="F70" s="38" t="s">
        <v>55</v>
      </c>
      <c r="G70" s="84"/>
      <c r="H70" s="40" t="s">
        <v>56</v>
      </c>
      <c r="I70" s="42"/>
      <c r="J70" s="83">
        <v>25</v>
      </c>
      <c r="K70" s="42">
        <v>140.10846774193547</v>
      </c>
      <c r="L70" s="42">
        <v>3502.7116935483868</v>
      </c>
      <c r="M70" s="50"/>
      <c r="N70" s="39"/>
      <c r="O70" s="39"/>
      <c r="P70" s="42">
        <v>0</v>
      </c>
      <c r="Q70" s="52"/>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39"/>
      <c r="AW70" s="39"/>
    </row>
    <row r="71" spans="1:49" s="48" customFormat="1" ht="12.75" customHeight="1" x14ac:dyDescent="0.25">
      <c r="A71" s="33" t="s">
        <v>136</v>
      </c>
      <c r="B71" s="51" t="s">
        <v>220</v>
      </c>
      <c r="C71" s="35" t="s">
        <v>221</v>
      </c>
      <c r="D71" s="85" t="s">
        <v>144</v>
      </c>
      <c r="E71" s="37" t="s">
        <v>54</v>
      </c>
      <c r="F71" s="38" t="s">
        <v>55</v>
      </c>
      <c r="G71" s="84"/>
      <c r="H71" s="40" t="s">
        <v>56</v>
      </c>
      <c r="I71" s="42"/>
      <c r="J71" s="83">
        <v>40</v>
      </c>
      <c r="K71" s="42">
        <v>140.10846774193547</v>
      </c>
      <c r="L71" s="42">
        <v>5604.3387096774186</v>
      </c>
      <c r="M71" s="50"/>
      <c r="N71" s="39"/>
      <c r="O71" s="39"/>
      <c r="P71" s="42">
        <v>0</v>
      </c>
      <c r="Q71" s="52"/>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39"/>
      <c r="AW71" s="39"/>
    </row>
    <row r="72" spans="1:49" s="48" customFormat="1" ht="12.75" customHeight="1" x14ac:dyDescent="0.25">
      <c r="A72" s="33" t="s">
        <v>136</v>
      </c>
      <c r="B72" s="51" t="s">
        <v>222</v>
      </c>
      <c r="C72" s="35" t="s">
        <v>223</v>
      </c>
      <c r="D72" s="85" t="s">
        <v>207</v>
      </c>
      <c r="E72" s="37" t="s">
        <v>54</v>
      </c>
      <c r="F72" s="38" t="s">
        <v>55</v>
      </c>
      <c r="G72" s="84"/>
      <c r="H72" s="40" t="s">
        <v>56</v>
      </c>
      <c r="I72" s="42"/>
      <c r="J72" s="83">
        <v>8</v>
      </c>
      <c r="K72" s="42">
        <v>140.10846774193547</v>
      </c>
      <c r="L72" s="42">
        <v>1120.8677419354838</v>
      </c>
      <c r="M72" s="50"/>
      <c r="N72" s="39"/>
      <c r="O72" s="39"/>
      <c r="P72" s="42">
        <v>0</v>
      </c>
      <c r="Q72" s="52"/>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39"/>
      <c r="AW72" s="39"/>
    </row>
    <row r="73" spans="1:49" s="48" customFormat="1" ht="12.75" customHeight="1" x14ac:dyDescent="0.25">
      <c r="A73" s="33" t="s">
        <v>136</v>
      </c>
      <c r="B73" s="51" t="s">
        <v>224</v>
      </c>
      <c r="C73" s="35" t="s">
        <v>225</v>
      </c>
      <c r="D73" s="66" t="s">
        <v>147</v>
      </c>
      <c r="E73" s="37" t="s">
        <v>54</v>
      </c>
      <c r="F73" s="38" t="s">
        <v>55</v>
      </c>
      <c r="G73" s="84"/>
      <c r="H73" s="40" t="s">
        <v>56</v>
      </c>
      <c r="I73" s="42"/>
      <c r="J73" s="83">
        <v>40</v>
      </c>
      <c r="K73" s="42">
        <v>140.10846774193547</v>
      </c>
      <c r="L73" s="42">
        <v>5604.3387096774186</v>
      </c>
      <c r="M73" s="50"/>
      <c r="N73" s="39"/>
      <c r="O73" s="39"/>
      <c r="P73" s="42">
        <v>0</v>
      </c>
      <c r="Q73" s="52"/>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row>
    <row r="74" spans="1:49" s="48" customFormat="1" ht="12.75" customHeight="1" x14ac:dyDescent="0.25">
      <c r="A74" s="33" t="s">
        <v>136</v>
      </c>
      <c r="B74" s="51" t="s">
        <v>226</v>
      </c>
      <c r="C74" s="35" t="s">
        <v>227</v>
      </c>
      <c r="D74" s="66" t="s">
        <v>150</v>
      </c>
      <c r="E74" s="37" t="s">
        <v>54</v>
      </c>
      <c r="F74" s="38" t="s">
        <v>55</v>
      </c>
      <c r="G74" s="84"/>
      <c r="H74" s="40" t="s">
        <v>56</v>
      </c>
      <c r="I74" s="42"/>
      <c r="J74" s="83">
        <v>52</v>
      </c>
      <c r="K74" s="42">
        <v>140.10846774193547</v>
      </c>
      <c r="L74" s="42">
        <v>7285.6403225806444</v>
      </c>
      <c r="M74" s="50"/>
      <c r="N74" s="39"/>
      <c r="O74" s="39"/>
      <c r="P74" s="42">
        <v>0</v>
      </c>
      <c r="Q74" s="52"/>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39"/>
      <c r="AW74" s="39"/>
    </row>
    <row r="75" spans="1:49" s="48" customFormat="1" ht="12.75" customHeight="1" x14ac:dyDescent="0.25">
      <c r="A75" s="33" t="s">
        <v>136</v>
      </c>
      <c r="B75" s="51" t="s">
        <v>228</v>
      </c>
      <c r="C75" s="35" t="s">
        <v>229</v>
      </c>
      <c r="D75" s="66" t="s">
        <v>153</v>
      </c>
      <c r="E75" s="37" t="s">
        <v>54</v>
      </c>
      <c r="F75" s="38" t="s">
        <v>55</v>
      </c>
      <c r="G75" s="84"/>
      <c r="H75" s="40" t="s">
        <v>56</v>
      </c>
      <c r="I75" s="42"/>
      <c r="J75" s="83">
        <v>20</v>
      </c>
      <c r="K75" s="42">
        <v>140.10846774193547</v>
      </c>
      <c r="L75" s="42">
        <v>2802.1693548387093</v>
      </c>
      <c r="M75" s="50"/>
      <c r="N75" s="39"/>
      <c r="O75" s="39"/>
      <c r="P75" s="42">
        <v>0</v>
      </c>
      <c r="Q75" s="52"/>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39"/>
      <c r="AW75" s="39"/>
    </row>
    <row r="76" spans="1:49" s="48" customFormat="1" ht="12.75" customHeight="1" x14ac:dyDescent="0.25">
      <c r="A76" s="33" t="s">
        <v>136</v>
      </c>
      <c r="B76" s="51" t="s">
        <v>230</v>
      </c>
      <c r="C76" s="35" t="s">
        <v>231</v>
      </c>
      <c r="D76" s="86" t="s">
        <v>156</v>
      </c>
      <c r="E76" s="37" t="s">
        <v>54</v>
      </c>
      <c r="F76" s="38" t="s">
        <v>55</v>
      </c>
      <c r="G76" s="84"/>
      <c r="H76" s="40" t="s">
        <v>56</v>
      </c>
      <c r="I76" s="42"/>
      <c r="J76" s="83">
        <v>20</v>
      </c>
      <c r="K76" s="42">
        <v>140.10846774193547</v>
      </c>
      <c r="L76" s="42">
        <v>2802.1693548387093</v>
      </c>
      <c r="M76" s="50"/>
      <c r="N76" s="39"/>
      <c r="O76" s="39"/>
      <c r="P76" s="42">
        <v>0</v>
      </c>
      <c r="Q76" s="52"/>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39"/>
      <c r="AW76" s="39"/>
    </row>
    <row r="77" spans="1:49" s="75" customFormat="1" ht="12.75" customHeight="1" x14ac:dyDescent="0.25">
      <c r="A77" s="14" t="s">
        <v>136</v>
      </c>
      <c r="B77" s="15">
        <v>28243981</v>
      </c>
      <c r="C77" s="56" t="s">
        <v>232</v>
      </c>
      <c r="D77" s="80" t="s">
        <v>233</v>
      </c>
      <c r="E77" s="18" t="s">
        <v>958</v>
      </c>
      <c r="F77" s="70"/>
      <c r="G77" s="71"/>
      <c r="H77" s="71"/>
      <c r="I77" s="81"/>
      <c r="J77" s="20">
        <f>SUM(J78:J84)</f>
        <v>205</v>
      </c>
      <c r="K77" s="20">
        <v>140.10846774193499</v>
      </c>
      <c r="L77" s="22">
        <f>SUM(L78:L84)</f>
        <v>28722.235887096769</v>
      </c>
      <c r="M77" s="82"/>
      <c r="N77" s="77"/>
      <c r="O77" s="77"/>
      <c r="P77" s="73"/>
      <c r="R77" s="76"/>
      <c r="S77" s="77"/>
      <c r="T77" s="77"/>
      <c r="U77" s="77"/>
      <c r="V77" s="77"/>
      <c r="W77" s="77"/>
      <c r="X77" s="77"/>
      <c r="Y77" s="77"/>
      <c r="Z77" s="77"/>
      <c r="AA77" s="77"/>
      <c r="AB77" s="77"/>
      <c r="AC77" s="77"/>
      <c r="AD77" s="77"/>
      <c r="AE77" s="77"/>
      <c r="AF77" s="77"/>
      <c r="AG77" s="77"/>
      <c r="AH77" s="77"/>
      <c r="AI77" s="77"/>
      <c r="AJ77" s="77"/>
      <c r="AK77" s="77"/>
      <c r="AL77" s="77"/>
      <c r="AM77" s="77"/>
      <c r="AN77" s="77"/>
      <c r="AO77" s="77"/>
      <c r="AP77" s="77"/>
      <c r="AQ77" s="77"/>
      <c r="AR77" s="77"/>
      <c r="AS77" s="77"/>
      <c r="AT77" s="77"/>
      <c r="AU77" s="77"/>
      <c r="AV77" s="77"/>
      <c r="AW77" s="77"/>
    </row>
    <row r="78" spans="1:49" s="48" customFormat="1" ht="12.75" customHeight="1" x14ac:dyDescent="0.25">
      <c r="A78" s="33" t="s">
        <v>136</v>
      </c>
      <c r="B78" s="51" t="s">
        <v>234</v>
      </c>
      <c r="C78" s="35" t="s">
        <v>235</v>
      </c>
      <c r="D78" s="66" t="s">
        <v>141</v>
      </c>
      <c r="E78" s="37" t="s">
        <v>54</v>
      </c>
      <c r="F78" s="38" t="s">
        <v>55</v>
      </c>
      <c r="G78" s="84"/>
      <c r="H78" s="40" t="s">
        <v>56</v>
      </c>
      <c r="I78" s="42"/>
      <c r="J78" s="83">
        <v>25</v>
      </c>
      <c r="K78" s="42">
        <v>140.10846774193547</v>
      </c>
      <c r="L78" s="42">
        <v>3502.7116935483868</v>
      </c>
      <c r="M78" s="50"/>
      <c r="N78" s="39"/>
      <c r="O78" s="39"/>
      <c r="P78" s="42">
        <v>0</v>
      </c>
      <c r="Q78" s="52"/>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39"/>
      <c r="AW78" s="39"/>
    </row>
    <row r="79" spans="1:49" s="48" customFormat="1" ht="12.75" customHeight="1" x14ac:dyDescent="0.25">
      <c r="A79" s="33" t="s">
        <v>136</v>
      </c>
      <c r="B79" s="51" t="s">
        <v>236</v>
      </c>
      <c r="C79" s="35" t="s">
        <v>237</v>
      </c>
      <c r="D79" s="85" t="s">
        <v>144</v>
      </c>
      <c r="E79" s="37" t="s">
        <v>54</v>
      </c>
      <c r="F79" s="38" t="s">
        <v>55</v>
      </c>
      <c r="G79" s="84"/>
      <c r="H79" s="40" t="s">
        <v>56</v>
      </c>
      <c r="I79" s="42"/>
      <c r="J79" s="83">
        <v>40</v>
      </c>
      <c r="K79" s="42">
        <v>140.10846774193547</v>
      </c>
      <c r="L79" s="42">
        <v>5604.3387096774186</v>
      </c>
      <c r="M79" s="50"/>
      <c r="N79" s="39"/>
      <c r="O79" s="39"/>
      <c r="P79" s="42">
        <v>0</v>
      </c>
      <c r="Q79" s="52"/>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row>
    <row r="80" spans="1:49" s="48" customFormat="1" ht="12.75" customHeight="1" x14ac:dyDescent="0.25">
      <c r="A80" s="33" t="s">
        <v>136</v>
      </c>
      <c r="B80" s="51" t="s">
        <v>238</v>
      </c>
      <c r="C80" s="35" t="s">
        <v>239</v>
      </c>
      <c r="D80" s="85" t="s">
        <v>207</v>
      </c>
      <c r="E80" s="37" t="s">
        <v>54</v>
      </c>
      <c r="F80" s="38" t="s">
        <v>55</v>
      </c>
      <c r="G80" s="84"/>
      <c r="H80" s="40" t="s">
        <v>56</v>
      </c>
      <c r="I80" s="42"/>
      <c r="J80" s="83">
        <v>8</v>
      </c>
      <c r="K80" s="42">
        <v>140.10846774193547</v>
      </c>
      <c r="L80" s="42">
        <v>1120.8677419354838</v>
      </c>
      <c r="M80" s="50"/>
      <c r="N80" s="39"/>
      <c r="O80" s="39"/>
      <c r="P80" s="42">
        <v>0</v>
      </c>
      <c r="Q80" s="52"/>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39"/>
      <c r="AW80" s="39"/>
    </row>
    <row r="81" spans="1:49" s="48" customFormat="1" ht="12.75" customHeight="1" x14ac:dyDescent="0.25">
      <c r="A81" s="33" t="s">
        <v>136</v>
      </c>
      <c r="B81" s="51" t="s">
        <v>240</v>
      </c>
      <c r="C81" s="35" t="s">
        <v>241</v>
      </c>
      <c r="D81" s="66" t="s">
        <v>147</v>
      </c>
      <c r="E81" s="37" t="s">
        <v>54</v>
      </c>
      <c r="F81" s="38" t="s">
        <v>55</v>
      </c>
      <c r="G81" s="84"/>
      <c r="H81" s="40" t="s">
        <v>56</v>
      </c>
      <c r="I81" s="42"/>
      <c r="J81" s="83">
        <v>40</v>
      </c>
      <c r="K81" s="42">
        <v>140.10846774193547</v>
      </c>
      <c r="L81" s="42">
        <v>5604.3387096774186</v>
      </c>
      <c r="M81" s="50"/>
      <c r="N81" s="39"/>
      <c r="O81" s="39"/>
      <c r="P81" s="42">
        <v>0</v>
      </c>
      <c r="Q81" s="52"/>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39"/>
      <c r="AW81" s="39"/>
    </row>
    <row r="82" spans="1:49" s="48" customFormat="1" ht="12.75" customHeight="1" x14ac:dyDescent="0.25">
      <c r="A82" s="33" t="s">
        <v>136</v>
      </c>
      <c r="B82" s="51" t="s">
        <v>242</v>
      </c>
      <c r="C82" s="35" t="s">
        <v>243</v>
      </c>
      <c r="D82" s="66" t="s">
        <v>150</v>
      </c>
      <c r="E82" s="37" t="s">
        <v>54</v>
      </c>
      <c r="F82" s="38" t="s">
        <v>55</v>
      </c>
      <c r="G82" s="84"/>
      <c r="H82" s="40" t="s">
        <v>56</v>
      </c>
      <c r="I82" s="42"/>
      <c r="J82" s="83">
        <v>52</v>
      </c>
      <c r="K82" s="42">
        <v>140.10846774193547</v>
      </c>
      <c r="L82" s="42">
        <v>7285.6403225806444</v>
      </c>
      <c r="M82" s="50"/>
      <c r="N82" s="39"/>
      <c r="O82" s="39"/>
      <c r="P82" s="42">
        <v>0</v>
      </c>
      <c r="Q82" s="52"/>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39"/>
      <c r="AW82" s="39"/>
    </row>
    <row r="83" spans="1:49" s="48" customFormat="1" ht="12.75" customHeight="1" x14ac:dyDescent="0.25">
      <c r="A83" s="33" t="s">
        <v>136</v>
      </c>
      <c r="B83" s="51" t="s">
        <v>244</v>
      </c>
      <c r="C83" s="35" t="s">
        <v>245</v>
      </c>
      <c r="D83" s="66" t="s">
        <v>153</v>
      </c>
      <c r="E83" s="37" t="s">
        <v>54</v>
      </c>
      <c r="F83" s="38" t="s">
        <v>55</v>
      </c>
      <c r="G83" s="84"/>
      <c r="H83" s="40" t="s">
        <v>56</v>
      </c>
      <c r="I83" s="42"/>
      <c r="J83" s="83">
        <v>20</v>
      </c>
      <c r="K83" s="42">
        <v>140.10846774193547</v>
      </c>
      <c r="L83" s="42">
        <v>2802.1693548387093</v>
      </c>
      <c r="M83" s="50"/>
      <c r="N83" s="39"/>
      <c r="O83" s="39"/>
      <c r="P83" s="42">
        <v>0</v>
      </c>
      <c r="Q83" s="52"/>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row>
    <row r="84" spans="1:49" s="48" customFormat="1" ht="12.75" customHeight="1" x14ac:dyDescent="0.25">
      <c r="A84" s="33" t="s">
        <v>136</v>
      </c>
      <c r="B84" s="51" t="s">
        <v>246</v>
      </c>
      <c r="C84" s="35" t="s">
        <v>247</v>
      </c>
      <c r="D84" s="86" t="s">
        <v>156</v>
      </c>
      <c r="E84" s="37" t="s">
        <v>54</v>
      </c>
      <c r="F84" s="38" t="s">
        <v>55</v>
      </c>
      <c r="G84" s="84"/>
      <c r="H84" s="40" t="s">
        <v>56</v>
      </c>
      <c r="I84" s="42"/>
      <c r="J84" s="83">
        <v>20</v>
      </c>
      <c r="K84" s="42">
        <v>140.10846774193547</v>
      </c>
      <c r="L84" s="42">
        <v>2802.1693548387093</v>
      </c>
      <c r="M84" s="50"/>
      <c r="N84" s="39"/>
      <c r="O84" s="39"/>
      <c r="P84" s="42">
        <v>0</v>
      </c>
      <c r="Q84" s="52"/>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row>
    <row r="85" spans="1:49" s="75" customFormat="1" ht="12.75" customHeight="1" x14ac:dyDescent="0.25">
      <c r="A85" s="14" t="s">
        <v>136</v>
      </c>
      <c r="B85" s="15">
        <v>28243981</v>
      </c>
      <c r="C85" s="56" t="s">
        <v>248</v>
      </c>
      <c r="D85" s="80" t="s">
        <v>249</v>
      </c>
      <c r="E85" s="18" t="s">
        <v>958</v>
      </c>
      <c r="F85" s="70"/>
      <c r="G85" s="71"/>
      <c r="H85" s="71"/>
      <c r="I85" s="81"/>
      <c r="J85" s="20">
        <f>SUM(J86:J92)</f>
        <v>205</v>
      </c>
      <c r="K85" s="20">
        <v>140.10846774193499</v>
      </c>
      <c r="L85" s="22">
        <f>SUM(L86:L92)</f>
        <v>28722.235887096769</v>
      </c>
      <c r="M85" s="82"/>
      <c r="N85" s="77"/>
      <c r="O85" s="77"/>
      <c r="P85" s="73"/>
      <c r="R85" s="76"/>
      <c r="S85" s="77"/>
      <c r="T85" s="77"/>
      <c r="U85" s="77"/>
      <c r="V85" s="77"/>
      <c r="W85" s="77"/>
      <c r="X85" s="77"/>
      <c r="Y85" s="77"/>
      <c r="Z85" s="77"/>
      <c r="AA85" s="77"/>
      <c r="AB85" s="77"/>
      <c r="AC85" s="77"/>
      <c r="AD85" s="77"/>
      <c r="AE85" s="77"/>
      <c r="AF85" s="77"/>
      <c r="AG85" s="77"/>
      <c r="AH85" s="77"/>
      <c r="AI85" s="77"/>
      <c r="AJ85" s="77"/>
      <c r="AK85" s="77"/>
      <c r="AL85" s="77"/>
      <c r="AM85" s="77"/>
      <c r="AN85" s="77"/>
      <c r="AO85" s="77"/>
      <c r="AP85" s="77"/>
      <c r="AQ85" s="77"/>
      <c r="AR85" s="77"/>
      <c r="AS85" s="77"/>
      <c r="AT85" s="77"/>
      <c r="AU85" s="77"/>
      <c r="AV85" s="77"/>
      <c r="AW85" s="77"/>
    </row>
    <row r="86" spans="1:49" s="48" customFormat="1" ht="12.75" customHeight="1" x14ac:dyDescent="0.25">
      <c r="A86" s="33" t="s">
        <v>136</v>
      </c>
      <c r="B86" s="51" t="s">
        <v>250</v>
      </c>
      <c r="C86" s="35" t="s">
        <v>251</v>
      </c>
      <c r="D86" s="66" t="s">
        <v>141</v>
      </c>
      <c r="E86" s="37" t="s">
        <v>54</v>
      </c>
      <c r="F86" s="38" t="s">
        <v>55</v>
      </c>
      <c r="G86" s="84"/>
      <c r="H86" s="40" t="s">
        <v>56</v>
      </c>
      <c r="I86" s="42"/>
      <c r="J86" s="83">
        <v>25</v>
      </c>
      <c r="K86" s="42">
        <v>140.10846774193547</v>
      </c>
      <c r="L86" s="42">
        <v>3502.7116935483868</v>
      </c>
      <c r="M86" s="50"/>
      <c r="N86" s="39"/>
      <c r="O86" s="39"/>
      <c r="P86" s="42">
        <v>0</v>
      </c>
      <c r="Q86" s="52"/>
      <c r="S86" s="39"/>
      <c r="T86" s="39"/>
      <c r="U86" s="39"/>
      <c r="V86" s="39"/>
      <c r="W86" s="39"/>
      <c r="X86" s="39"/>
      <c r="Y86" s="39"/>
      <c r="Z86" s="39"/>
      <c r="AA86" s="39"/>
      <c r="AB86" s="39"/>
      <c r="AC86" s="39"/>
      <c r="AD86" s="39"/>
      <c r="AE86" s="39"/>
      <c r="AF86" s="39"/>
      <c r="AG86" s="39"/>
      <c r="AH86" s="39"/>
      <c r="AI86" s="39"/>
      <c r="AJ86" s="39"/>
      <c r="AK86" s="39"/>
      <c r="AL86" s="39"/>
      <c r="AM86" s="39"/>
      <c r="AN86" s="39"/>
      <c r="AO86" s="39"/>
      <c r="AP86" s="39"/>
      <c r="AQ86" s="39"/>
      <c r="AR86" s="39"/>
      <c r="AS86" s="39"/>
      <c r="AT86" s="39"/>
      <c r="AU86" s="39"/>
      <c r="AV86" s="39"/>
      <c r="AW86" s="39"/>
    </row>
    <row r="87" spans="1:49" s="48" customFormat="1" ht="12.75" customHeight="1" x14ac:dyDescent="0.25">
      <c r="A87" s="33" t="s">
        <v>136</v>
      </c>
      <c r="B87" s="51" t="s">
        <v>252</v>
      </c>
      <c r="C87" s="35" t="s">
        <v>253</v>
      </c>
      <c r="D87" s="85" t="s">
        <v>144</v>
      </c>
      <c r="E87" s="37" t="s">
        <v>54</v>
      </c>
      <c r="F87" s="38" t="s">
        <v>55</v>
      </c>
      <c r="G87" s="84"/>
      <c r="H87" s="40" t="s">
        <v>56</v>
      </c>
      <c r="I87" s="42"/>
      <c r="J87" s="83">
        <v>40</v>
      </c>
      <c r="K87" s="42">
        <v>140.10846774193547</v>
      </c>
      <c r="L87" s="42">
        <v>5604.3387096774186</v>
      </c>
      <c r="M87" s="50"/>
      <c r="N87" s="39"/>
      <c r="O87" s="39"/>
      <c r="P87" s="42">
        <v>0</v>
      </c>
      <c r="Q87" s="52"/>
      <c r="S87" s="39"/>
      <c r="T87" s="39"/>
      <c r="U87" s="39"/>
      <c r="V87" s="39"/>
      <c r="W87" s="39"/>
      <c r="X87" s="39"/>
      <c r="Y87" s="39"/>
      <c r="Z87" s="39"/>
      <c r="AA87" s="39"/>
      <c r="AB87" s="39"/>
      <c r="AC87" s="39"/>
      <c r="AD87" s="39"/>
      <c r="AE87" s="39"/>
      <c r="AF87" s="39"/>
      <c r="AG87" s="39"/>
      <c r="AH87" s="39"/>
      <c r="AI87" s="39"/>
      <c r="AJ87" s="39"/>
      <c r="AK87" s="39"/>
      <c r="AL87" s="39"/>
      <c r="AM87" s="39"/>
      <c r="AN87" s="39"/>
      <c r="AO87" s="39"/>
      <c r="AP87" s="39"/>
      <c r="AQ87" s="39"/>
      <c r="AR87" s="39"/>
      <c r="AS87" s="39"/>
      <c r="AT87" s="39"/>
      <c r="AU87" s="39"/>
      <c r="AV87" s="39"/>
      <c r="AW87" s="39"/>
    </row>
    <row r="88" spans="1:49" s="48" customFormat="1" ht="12.75" customHeight="1" x14ac:dyDescent="0.25">
      <c r="A88" s="33" t="s">
        <v>136</v>
      </c>
      <c r="B88" s="51" t="s">
        <v>254</v>
      </c>
      <c r="C88" s="35" t="s">
        <v>255</v>
      </c>
      <c r="D88" s="85" t="s">
        <v>207</v>
      </c>
      <c r="E88" s="37" t="s">
        <v>54</v>
      </c>
      <c r="F88" s="38" t="s">
        <v>55</v>
      </c>
      <c r="G88" s="84"/>
      <c r="H88" s="40" t="s">
        <v>56</v>
      </c>
      <c r="I88" s="42"/>
      <c r="J88" s="83">
        <v>8</v>
      </c>
      <c r="K88" s="42">
        <v>140.10846774193547</v>
      </c>
      <c r="L88" s="42">
        <v>1120.8677419354838</v>
      </c>
      <c r="M88" s="50"/>
      <c r="N88" s="39"/>
      <c r="O88" s="39"/>
      <c r="P88" s="42">
        <v>0</v>
      </c>
      <c r="Q88" s="52"/>
      <c r="S88" s="39"/>
      <c r="T88" s="39"/>
      <c r="U88" s="39"/>
      <c r="V88" s="39"/>
      <c r="W88" s="39"/>
      <c r="X88" s="39"/>
      <c r="Y88" s="39"/>
      <c r="Z88" s="39"/>
      <c r="AA88" s="39"/>
      <c r="AB88" s="39"/>
      <c r="AC88" s="39"/>
      <c r="AD88" s="39"/>
      <c r="AE88" s="39"/>
      <c r="AF88" s="39"/>
      <c r="AG88" s="39"/>
      <c r="AH88" s="39"/>
      <c r="AI88" s="39"/>
      <c r="AJ88" s="39"/>
      <c r="AK88" s="39"/>
      <c r="AL88" s="39"/>
      <c r="AM88" s="39"/>
      <c r="AN88" s="39"/>
      <c r="AO88" s="39"/>
      <c r="AP88" s="39"/>
      <c r="AQ88" s="39"/>
      <c r="AR88" s="39"/>
      <c r="AS88" s="39"/>
      <c r="AT88" s="39"/>
      <c r="AU88" s="39"/>
      <c r="AV88" s="39"/>
      <c r="AW88" s="39"/>
    </row>
    <row r="89" spans="1:49" s="48" customFormat="1" ht="12.75" customHeight="1" x14ac:dyDescent="0.25">
      <c r="A89" s="33" t="s">
        <v>136</v>
      </c>
      <c r="B89" s="51" t="s">
        <v>256</v>
      </c>
      <c r="C89" s="35" t="s">
        <v>257</v>
      </c>
      <c r="D89" s="66" t="s">
        <v>147</v>
      </c>
      <c r="E89" s="37" t="s">
        <v>54</v>
      </c>
      <c r="F89" s="38" t="s">
        <v>55</v>
      </c>
      <c r="G89" s="84"/>
      <c r="H89" s="40" t="s">
        <v>56</v>
      </c>
      <c r="I89" s="42"/>
      <c r="J89" s="83">
        <v>40</v>
      </c>
      <c r="K89" s="42">
        <v>140.10846774193547</v>
      </c>
      <c r="L89" s="42">
        <v>5604.3387096774186</v>
      </c>
      <c r="M89" s="50"/>
      <c r="N89" s="39"/>
      <c r="O89" s="39"/>
      <c r="P89" s="42">
        <v>0</v>
      </c>
      <c r="Q89" s="52"/>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row>
    <row r="90" spans="1:49" s="48" customFormat="1" ht="12.75" customHeight="1" x14ac:dyDescent="0.25">
      <c r="A90" s="33" t="s">
        <v>136</v>
      </c>
      <c r="B90" s="51" t="s">
        <v>258</v>
      </c>
      <c r="C90" s="35" t="s">
        <v>259</v>
      </c>
      <c r="D90" s="66" t="s">
        <v>150</v>
      </c>
      <c r="E90" s="37" t="s">
        <v>54</v>
      </c>
      <c r="F90" s="38" t="s">
        <v>55</v>
      </c>
      <c r="G90" s="84"/>
      <c r="H90" s="40" t="s">
        <v>56</v>
      </c>
      <c r="I90" s="42"/>
      <c r="J90" s="83">
        <v>52</v>
      </c>
      <c r="K90" s="42">
        <v>140.10846774193547</v>
      </c>
      <c r="L90" s="42">
        <v>7285.6403225806444</v>
      </c>
      <c r="M90" s="50"/>
      <c r="N90" s="39"/>
      <c r="O90" s="39"/>
      <c r="P90" s="42">
        <v>0</v>
      </c>
      <c r="Q90" s="52"/>
      <c r="S90" s="39"/>
      <c r="T90" s="39"/>
      <c r="U90" s="39"/>
      <c r="V90" s="39"/>
      <c r="W90" s="39"/>
      <c r="X90" s="39"/>
      <c r="Y90" s="39"/>
      <c r="Z90" s="39"/>
      <c r="AA90" s="39"/>
      <c r="AB90" s="39"/>
      <c r="AC90" s="39"/>
      <c r="AD90" s="39"/>
      <c r="AE90" s="39"/>
      <c r="AF90" s="39"/>
      <c r="AG90" s="39"/>
      <c r="AH90" s="39"/>
      <c r="AI90" s="39"/>
      <c r="AJ90" s="39"/>
      <c r="AK90" s="39"/>
      <c r="AL90" s="39"/>
      <c r="AM90" s="39"/>
      <c r="AN90" s="39"/>
      <c r="AO90" s="39"/>
      <c r="AP90" s="39"/>
      <c r="AQ90" s="39"/>
      <c r="AR90" s="39"/>
      <c r="AS90" s="39"/>
      <c r="AT90" s="39"/>
      <c r="AU90" s="39"/>
      <c r="AV90" s="39"/>
      <c r="AW90" s="39"/>
    </row>
    <row r="91" spans="1:49" s="48" customFormat="1" ht="12.75" customHeight="1" x14ac:dyDescent="0.25">
      <c r="A91" s="33" t="s">
        <v>136</v>
      </c>
      <c r="B91" s="51" t="s">
        <v>260</v>
      </c>
      <c r="C91" s="35" t="s">
        <v>261</v>
      </c>
      <c r="D91" s="66" t="s">
        <v>153</v>
      </c>
      <c r="E91" s="37" t="s">
        <v>54</v>
      </c>
      <c r="F91" s="38" t="s">
        <v>55</v>
      </c>
      <c r="G91" s="84"/>
      <c r="H91" s="40" t="s">
        <v>56</v>
      </c>
      <c r="I91" s="42"/>
      <c r="J91" s="83">
        <v>20</v>
      </c>
      <c r="K91" s="42">
        <v>140.10846774193547</v>
      </c>
      <c r="L91" s="42">
        <v>2802.1693548387093</v>
      </c>
      <c r="M91" s="50"/>
      <c r="N91" s="39"/>
      <c r="O91" s="39"/>
      <c r="P91" s="42">
        <v>0</v>
      </c>
      <c r="Q91" s="52"/>
      <c r="S91" s="39"/>
      <c r="T91" s="39"/>
      <c r="U91" s="39"/>
      <c r="V91" s="39"/>
      <c r="W91" s="39"/>
      <c r="X91" s="39"/>
      <c r="Y91" s="39"/>
      <c r="Z91" s="39"/>
      <c r="AA91" s="39"/>
      <c r="AB91" s="39"/>
      <c r="AC91" s="39"/>
      <c r="AD91" s="39"/>
      <c r="AE91" s="39"/>
      <c r="AF91" s="39"/>
      <c r="AG91" s="39"/>
      <c r="AH91" s="39"/>
      <c r="AI91" s="39"/>
      <c r="AJ91" s="39"/>
      <c r="AK91" s="39"/>
      <c r="AL91" s="39"/>
      <c r="AM91" s="39"/>
      <c r="AN91" s="39"/>
      <c r="AO91" s="39"/>
      <c r="AP91" s="39"/>
      <c r="AQ91" s="39"/>
      <c r="AR91" s="39"/>
      <c r="AS91" s="39"/>
      <c r="AT91" s="39"/>
      <c r="AU91" s="39"/>
      <c r="AV91" s="39"/>
      <c r="AW91" s="39"/>
    </row>
    <row r="92" spans="1:49" s="48" customFormat="1" ht="12.75" customHeight="1" x14ac:dyDescent="0.25">
      <c r="A92" s="33" t="s">
        <v>136</v>
      </c>
      <c r="B92" s="51" t="s">
        <v>262</v>
      </c>
      <c r="C92" s="35" t="s">
        <v>263</v>
      </c>
      <c r="D92" s="86" t="s">
        <v>156</v>
      </c>
      <c r="E92" s="37" t="s">
        <v>54</v>
      </c>
      <c r="F92" s="38" t="s">
        <v>55</v>
      </c>
      <c r="G92" s="84"/>
      <c r="H92" s="40" t="s">
        <v>56</v>
      </c>
      <c r="I92" s="42"/>
      <c r="J92" s="83">
        <v>20</v>
      </c>
      <c r="K92" s="42">
        <v>140.10846774193547</v>
      </c>
      <c r="L92" s="42">
        <v>2802.1693548387093</v>
      </c>
      <c r="M92" s="50"/>
      <c r="N92" s="39"/>
      <c r="O92" s="39"/>
      <c r="P92" s="42">
        <v>0</v>
      </c>
      <c r="Q92" s="52"/>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row>
    <row r="93" spans="1:49" s="64" customFormat="1" ht="12.75" customHeight="1" x14ac:dyDescent="0.25">
      <c r="A93" s="14" t="s">
        <v>48</v>
      </c>
      <c r="B93" s="15">
        <v>28243985</v>
      </c>
      <c r="C93" s="56" t="s">
        <v>264</v>
      </c>
      <c r="D93" s="80" t="s">
        <v>265</v>
      </c>
      <c r="E93" s="18" t="s">
        <v>958</v>
      </c>
      <c r="F93" s="58"/>
      <c r="G93" s="87"/>
      <c r="H93" s="87"/>
      <c r="I93" s="42"/>
      <c r="J93" s="20">
        <f>SUM(J94:J101)</f>
        <v>24</v>
      </c>
      <c r="K93" s="20">
        <v>140.10846774193499</v>
      </c>
      <c r="L93" s="22">
        <f>SUM(L94:L101)</f>
        <v>3362.6032258064515</v>
      </c>
      <c r="M93" s="88"/>
      <c r="N93" s="65"/>
      <c r="O93" s="65"/>
      <c r="P93" s="62"/>
      <c r="R93" s="48"/>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65"/>
      <c r="AW93" s="65"/>
    </row>
    <row r="94" spans="1:49" s="48" customFormat="1" ht="12.75" customHeight="1" x14ac:dyDescent="0.25">
      <c r="A94" s="33" t="s">
        <v>48</v>
      </c>
      <c r="B94" s="51" t="s">
        <v>266</v>
      </c>
      <c r="C94" s="35" t="s">
        <v>267</v>
      </c>
      <c r="D94" s="86" t="s">
        <v>268</v>
      </c>
      <c r="E94" s="37" t="s">
        <v>54</v>
      </c>
      <c r="F94" s="38" t="s">
        <v>55</v>
      </c>
      <c r="G94" s="84"/>
      <c r="H94" s="40" t="s">
        <v>56</v>
      </c>
      <c r="I94" s="42"/>
      <c r="J94" s="39">
        <v>5</v>
      </c>
      <c r="K94" s="42">
        <v>140.10846774193547</v>
      </c>
      <c r="L94" s="42">
        <v>700.54233870967732</v>
      </c>
      <c r="M94" s="50"/>
      <c r="N94" s="39"/>
      <c r="O94" s="39"/>
      <c r="P94" s="42">
        <v>0</v>
      </c>
      <c r="Q94" s="52"/>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row>
    <row r="95" spans="1:49" s="48" customFormat="1" ht="12.75" customHeight="1" x14ac:dyDescent="0.25">
      <c r="A95" s="33" t="s">
        <v>48</v>
      </c>
      <c r="B95" s="51" t="s">
        <v>269</v>
      </c>
      <c r="C95" s="35" t="s">
        <v>270</v>
      </c>
      <c r="D95" s="86" t="s">
        <v>271</v>
      </c>
      <c r="E95" s="37" t="s">
        <v>54</v>
      </c>
      <c r="F95" s="38" t="s">
        <v>55</v>
      </c>
      <c r="G95" s="84"/>
      <c r="H95" s="40" t="s">
        <v>56</v>
      </c>
      <c r="I95" s="42"/>
      <c r="J95" s="39">
        <v>5</v>
      </c>
      <c r="K95" s="42">
        <v>140.10846774193547</v>
      </c>
      <c r="L95" s="42">
        <v>700.54233870967732</v>
      </c>
      <c r="M95" s="50"/>
      <c r="N95" s="39"/>
      <c r="O95" s="39"/>
      <c r="P95" s="42">
        <v>0</v>
      </c>
      <c r="Q95" s="52"/>
      <c r="S95" s="39"/>
      <c r="T95" s="39"/>
      <c r="U95" s="39"/>
      <c r="V95" s="39"/>
      <c r="W95" s="39"/>
      <c r="X95" s="39"/>
      <c r="Y95" s="39"/>
      <c r="Z95" s="39"/>
      <c r="AA95" s="39"/>
      <c r="AB95" s="39"/>
      <c r="AC95" s="39"/>
      <c r="AD95" s="39"/>
      <c r="AE95" s="39"/>
      <c r="AF95" s="39"/>
      <c r="AG95" s="39"/>
      <c r="AH95" s="39"/>
      <c r="AI95" s="39"/>
      <c r="AJ95" s="39"/>
      <c r="AK95" s="39"/>
      <c r="AL95" s="39"/>
      <c r="AM95" s="39"/>
      <c r="AN95" s="39"/>
      <c r="AO95" s="39"/>
      <c r="AP95" s="39"/>
      <c r="AQ95" s="39"/>
      <c r="AR95" s="39"/>
      <c r="AS95" s="39"/>
      <c r="AT95" s="39"/>
      <c r="AU95" s="39"/>
      <c r="AV95" s="39"/>
      <c r="AW95" s="39"/>
    </row>
    <row r="96" spans="1:49" s="48" customFormat="1" ht="12.75" customHeight="1" x14ac:dyDescent="0.25">
      <c r="A96" s="33" t="s">
        <v>48</v>
      </c>
      <c r="B96" s="51" t="s">
        <v>272</v>
      </c>
      <c r="C96" s="35" t="s">
        <v>273</v>
      </c>
      <c r="D96" s="86" t="s">
        <v>274</v>
      </c>
      <c r="E96" s="37" t="s">
        <v>54</v>
      </c>
      <c r="F96" s="38" t="s">
        <v>55</v>
      </c>
      <c r="G96" s="84"/>
      <c r="H96" s="40" t="s">
        <v>56</v>
      </c>
      <c r="I96" s="42"/>
      <c r="J96" s="39">
        <v>5</v>
      </c>
      <c r="K96" s="42">
        <v>140.10846774193547</v>
      </c>
      <c r="L96" s="42">
        <v>700.54233870967732</v>
      </c>
      <c r="M96" s="50"/>
      <c r="N96" s="39"/>
      <c r="O96" s="39"/>
      <c r="P96" s="42">
        <v>0</v>
      </c>
      <c r="Q96" s="52"/>
      <c r="S96" s="39"/>
      <c r="T96" s="39"/>
      <c r="U96" s="39"/>
      <c r="V96" s="39"/>
      <c r="W96" s="39"/>
      <c r="X96" s="39"/>
      <c r="Y96" s="39"/>
      <c r="Z96" s="39"/>
      <c r="AA96" s="39"/>
      <c r="AB96" s="39"/>
      <c r="AC96" s="39"/>
      <c r="AD96" s="39"/>
      <c r="AE96" s="39"/>
      <c r="AF96" s="39"/>
      <c r="AG96" s="39"/>
      <c r="AH96" s="39"/>
      <c r="AI96" s="39"/>
      <c r="AJ96" s="39"/>
      <c r="AK96" s="39"/>
      <c r="AL96" s="39"/>
      <c r="AM96" s="39"/>
      <c r="AN96" s="39"/>
      <c r="AO96" s="39"/>
      <c r="AP96" s="39"/>
      <c r="AQ96" s="39"/>
      <c r="AR96" s="39"/>
      <c r="AS96" s="39"/>
      <c r="AT96" s="39"/>
      <c r="AU96" s="39"/>
      <c r="AV96" s="39"/>
      <c r="AW96" s="39"/>
    </row>
    <row r="97" spans="1:49" s="48" customFormat="1" ht="12.75" customHeight="1" x14ac:dyDescent="0.25">
      <c r="A97" s="33" t="s">
        <v>48</v>
      </c>
      <c r="B97" s="51" t="s">
        <v>275</v>
      </c>
      <c r="C97" s="35" t="s">
        <v>276</v>
      </c>
      <c r="D97" s="86" t="s">
        <v>277</v>
      </c>
      <c r="E97" s="37" t="s">
        <v>54</v>
      </c>
      <c r="F97" s="38" t="s">
        <v>55</v>
      </c>
      <c r="G97" s="84"/>
      <c r="H97" s="40" t="s">
        <v>56</v>
      </c>
      <c r="I97" s="42"/>
      <c r="J97" s="39">
        <v>0</v>
      </c>
      <c r="K97" s="42">
        <v>140.10846774193547</v>
      </c>
      <c r="L97" s="42">
        <v>0</v>
      </c>
      <c r="M97" s="50"/>
      <c r="N97" s="39"/>
      <c r="O97" s="39"/>
      <c r="P97" s="42">
        <v>0</v>
      </c>
      <c r="Q97" s="52"/>
      <c r="S97" s="39"/>
      <c r="T97" s="39"/>
      <c r="U97" s="39"/>
      <c r="V97" s="39"/>
      <c r="W97" s="39"/>
      <c r="X97" s="39"/>
      <c r="Y97" s="39"/>
      <c r="Z97" s="39"/>
      <c r="AA97" s="39"/>
      <c r="AB97" s="39"/>
      <c r="AC97" s="39"/>
      <c r="AD97" s="39"/>
      <c r="AE97" s="39"/>
      <c r="AF97" s="39"/>
      <c r="AG97" s="39"/>
      <c r="AH97" s="39"/>
      <c r="AI97" s="39"/>
      <c r="AJ97" s="39"/>
      <c r="AK97" s="39"/>
      <c r="AL97" s="39"/>
      <c r="AM97" s="39"/>
      <c r="AN97" s="39"/>
      <c r="AO97" s="39"/>
      <c r="AP97" s="39"/>
      <c r="AQ97" s="39"/>
      <c r="AR97" s="39"/>
      <c r="AS97" s="39"/>
      <c r="AT97" s="39"/>
      <c r="AU97" s="39"/>
      <c r="AV97" s="39"/>
      <c r="AW97" s="39"/>
    </row>
    <row r="98" spans="1:49" s="48" customFormat="1" ht="17.25" customHeight="1" x14ac:dyDescent="0.25">
      <c r="A98" s="33" t="s">
        <v>48</v>
      </c>
      <c r="B98" s="51" t="s">
        <v>278</v>
      </c>
      <c r="C98" s="35" t="s">
        <v>279</v>
      </c>
      <c r="D98" s="86" t="s">
        <v>280</v>
      </c>
      <c r="E98" s="37" t="s">
        <v>54</v>
      </c>
      <c r="F98" s="38" t="s">
        <v>55</v>
      </c>
      <c r="G98" s="84"/>
      <c r="H98" s="40" t="s">
        <v>56</v>
      </c>
      <c r="I98" s="42"/>
      <c r="J98" s="39">
        <v>4</v>
      </c>
      <c r="K98" s="42">
        <v>140.10846774193547</v>
      </c>
      <c r="L98" s="42">
        <v>560.43387096774188</v>
      </c>
      <c r="M98" s="50"/>
      <c r="N98" s="39"/>
      <c r="O98" s="39"/>
      <c r="P98" s="42">
        <v>0</v>
      </c>
      <c r="Q98" s="52"/>
      <c r="S98" s="39"/>
      <c r="T98" s="39"/>
      <c r="U98" s="39"/>
      <c r="V98" s="39"/>
      <c r="W98" s="39"/>
      <c r="X98" s="39"/>
      <c r="Y98" s="39"/>
      <c r="Z98" s="39"/>
      <c r="AA98" s="39"/>
      <c r="AB98" s="39"/>
      <c r="AC98" s="39"/>
      <c r="AD98" s="39"/>
      <c r="AE98" s="39"/>
      <c r="AF98" s="39"/>
      <c r="AG98" s="39"/>
      <c r="AH98" s="39"/>
      <c r="AI98" s="39"/>
      <c r="AJ98" s="39"/>
      <c r="AK98" s="39"/>
      <c r="AL98" s="39"/>
      <c r="AM98" s="39"/>
      <c r="AN98" s="39"/>
      <c r="AO98" s="39"/>
      <c r="AP98" s="39"/>
      <c r="AQ98" s="39"/>
      <c r="AR98" s="39"/>
      <c r="AS98" s="39"/>
      <c r="AT98" s="39"/>
      <c r="AU98" s="39"/>
      <c r="AV98" s="39"/>
      <c r="AW98" s="39"/>
    </row>
    <row r="99" spans="1:49" s="48" customFormat="1" ht="12.75" customHeight="1" x14ac:dyDescent="0.25">
      <c r="A99" s="33" t="s">
        <v>48</v>
      </c>
      <c r="B99" s="51" t="s">
        <v>281</v>
      </c>
      <c r="C99" s="35" t="s">
        <v>282</v>
      </c>
      <c r="D99" s="86" t="s">
        <v>283</v>
      </c>
      <c r="E99" s="37" t="s">
        <v>54</v>
      </c>
      <c r="F99" s="38" t="s">
        <v>55</v>
      </c>
      <c r="G99" s="84"/>
      <c r="H99" s="84" t="s">
        <v>284</v>
      </c>
      <c r="I99" s="42"/>
      <c r="J99" s="39">
        <v>5</v>
      </c>
      <c r="K99" s="42">
        <v>140.10846774193547</v>
      </c>
      <c r="L99" s="42">
        <v>700.54233870967732</v>
      </c>
      <c r="M99" s="50"/>
      <c r="N99" s="39"/>
      <c r="O99" s="39"/>
      <c r="P99" s="42">
        <v>0</v>
      </c>
      <c r="Q99" s="52"/>
      <c r="S99" s="39"/>
      <c r="T99" s="39"/>
      <c r="U99" s="39"/>
      <c r="V99" s="39"/>
      <c r="W99" s="39"/>
      <c r="X99" s="39"/>
      <c r="Y99" s="39"/>
      <c r="Z99" s="39"/>
      <c r="AA99" s="39"/>
      <c r="AB99" s="39"/>
      <c r="AC99" s="39"/>
      <c r="AD99" s="39"/>
      <c r="AE99" s="39"/>
      <c r="AF99" s="39"/>
      <c r="AG99" s="39"/>
      <c r="AH99" s="39"/>
      <c r="AI99" s="39"/>
      <c r="AJ99" s="39"/>
      <c r="AK99" s="39"/>
      <c r="AL99" s="39"/>
      <c r="AM99" s="39"/>
      <c r="AN99" s="39"/>
      <c r="AO99" s="39"/>
      <c r="AP99" s="39"/>
      <c r="AQ99" s="39"/>
      <c r="AR99" s="39"/>
      <c r="AS99" s="39"/>
      <c r="AT99" s="39"/>
      <c r="AU99" s="39"/>
      <c r="AV99" s="39"/>
      <c r="AW99" s="39"/>
    </row>
    <row r="100" spans="1:49" s="48" customFormat="1" ht="12.75" customHeight="1" x14ac:dyDescent="0.25">
      <c r="A100" s="33" t="s">
        <v>48</v>
      </c>
      <c r="B100" s="51" t="s">
        <v>285</v>
      </c>
      <c r="C100" s="35" t="s">
        <v>286</v>
      </c>
      <c r="D100" s="86" t="s">
        <v>287</v>
      </c>
      <c r="E100" s="37" t="s">
        <v>54</v>
      </c>
      <c r="F100" s="38" t="s">
        <v>55</v>
      </c>
      <c r="G100" s="84"/>
      <c r="H100" s="40" t="s">
        <v>56</v>
      </c>
      <c r="I100" s="42"/>
      <c r="J100" s="39">
        <v>0</v>
      </c>
      <c r="K100" s="42">
        <v>140.10846774193547</v>
      </c>
      <c r="L100" s="42">
        <v>0</v>
      </c>
      <c r="M100" s="50"/>
      <c r="N100" s="39"/>
      <c r="O100" s="39"/>
      <c r="P100" s="42">
        <v>0</v>
      </c>
      <c r="Q100" s="52"/>
      <c r="S100" s="39"/>
      <c r="T100" s="39"/>
      <c r="U100" s="39"/>
      <c r="V100" s="39"/>
      <c r="W100" s="39"/>
      <c r="X100" s="39"/>
      <c r="Y100" s="39"/>
      <c r="Z100" s="39"/>
      <c r="AA100" s="39"/>
      <c r="AB100" s="39"/>
      <c r="AC100" s="39"/>
      <c r="AD100" s="39"/>
      <c r="AE100" s="39"/>
      <c r="AF100" s="39"/>
      <c r="AG100" s="39"/>
      <c r="AH100" s="39"/>
      <c r="AI100" s="39"/>
      <c r="AJ100" s="39"/>
      <c r="AK100" s="39"/>
      <c r="AL100" s="39"/>
      <c r="AM100" s="39"/>
      <c r="AN100" s="39"/>
      <c r="AO100" s="39"/>
      <c r="AP100" s="39"/>
      <c r="AQ100" s="39"/>
      <c r="AR100" s="39"/>
      <c r="AS100" s="39"/>
      <c r="AT100" s="39"/>
      <c r="AU100" s="39"/>
      <c r="AV100" s="39"/>
      <c r="AW100" s="39"/>
    </row>
    <row r="101" spans="1:49" s="48" customFormat="1" ht="12.75" customHeight="1" x14ac:dyDescent="0.25">
      <c r="A101" s="33" t="s">
        <v>48</v>
      </c>
      <c r="B101" s="51" t="s">
        <v>288</v>
      </c>
      <c r="C101" s="35" t="s">
        <v>289</v>
      </c>
      <c r="D101" s="89" t="s">
        <v>290</v>
      </c>
      <c r="E101" s="37" t="s">
        <v>54</v>
      </c>
      <c r="F101" s="38" t="s">
        <v>55</v>
      </c>
      <c r="G101" s="84"/>
      <c r="H101" s="40" t="s">
        <v>56</v>
      </c>
      <c r="I101" s="42"/>
      <c r="J101" s="39">
        <v>0</v>
      </c>
      <c r="K101" s="42">
        <v>140.10846774193547</v>
      </c>
      <c r="L101" s="42">
        <v>0</v>
      </c>
      <c r="M101" s="50"/>
      <c r="N101" s="39"/>
      <c r="O101" s="39"/>
      <c r="P101" s="42">
        <v>0</v>
      </c>
      <c r="Q101" s="52"/>
      <c r="S101" s="39"/>
      <c r="T101" s="39"/>
      <c r="U101" s="39"/>
      <c r="V101" s="39"/>
      <c r="W101" s="39"/>
      <c r="X101" s="39"/>
      <c r="Y101" s="39"/>
      <c r="Z101" s="39"/>
      <c r="AA101" s="39"/>
      <c r="AB101" s="39"/>
      <c r="AC101" s="39"/>
      <c r="AD101" s="39"/>
      <c r="AE101" s="39"/>
      <c r="AF101" s="39"/>
      <c r="AG101" s="39"/>
      <c r="AH101" s="39"/>
      <c r="AI101" s="39"/>
      <c r="AJ101" s="39"/>
      <c r="AK101" s="39"/>
      <c r="AL101" s="39"/>
      <c r="AM101" s="39"/>
      <c r="AN101" s="39"/>
      <c r="AO101" s="39"/>
      <c r="AP101" s="39"/>
      <c r="AQ101" s="39"/>
      <c r="AR101" s="39"/>
      <c r="AS101" s="39"/>
      <c r="AT101" s="39"/>
      <c r="AU101" s="39"/>
      <c r="AV101" s="39"/>
      <c r="AW101" s="39"/>
    </row>
    <row r="102" spans="1:49" s="64" customFormat="1" ht="12.75" customHeight="1" x14ac:dyDescent="0.25">
      <c r="A102" s="14" t="s">
        <v>48</v>
      </c>
      <c r="B102" s="15">
        <v>28243986</v>
      </c>
      <c r="C102" s="56" t="s">
        <v>291</v>
      </c>
      <c r="D102" s="80" t="s">
        <v>292</v>
      </c>
      <c r="E102" s="18" t="s">
        <v>958</v>
      </c>
      <c r="F102" s="58"/>
      <c r="G102" s="87"/>
      <c r="H102" s="87"/>
      <c r="I102" s="42"/>
      <c r="J102" s="20">
        <f>SUM(J103)</f>
        <v>40</v>
      </c>
      <c r="K102" s="20">
        <v>140.10846774193499</v>
      </c>
      <c r="L102" s="22">
        <f>SUM(L103:L103)</f>
        <v>5604.3387096774186</v>
      </c>
      <c r="M102" s="88"/>
      <c r="N102" s="65"/>
      <c r="O102" s="65"/>
      <c r="P102" s="62"/>
      <c r="R102" s="48"/>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c r="AR102" s="65"/>
      <c r="AS102" s="65"/>
      <c r="AT102" s="65"/>
      <c r="AU102" s="65"/>
      <c r="AV102" s="65"/>
      <c r="AW102" s="65"/>
    </row>
    <row r="103" spans="1:49" s="48" customFormat="1" ht="17.25" customHeight="1" x14ac:dyDescent="0.25">
      <c r="A103" s="33" t="s">
        <v>48</v>
      </c>
      <c r="B103" s="51" t="s">
        <v>293</v>
      </c>
      <c r="C103" s="35" t="s">
        <v>294</v>
      </c>
      <c r="D103" s="90" t="s">
        <v>295</v>
      </c>
      <c r="E103" s="37" t="s">
        <v>54</v>
      </c>
      <c r="F103" s="38" t="s">
        <v>55</v>
      </c>
      <c r="G103" s="84"/>
      <c r="H103" s="40" t="s">
        <v>56</v>
      </c>
      <c r="I103" s="42"/>
      <c r="J103" s="39">
        <v>40</v>
      </c>
      <c r="K103" s="42">
        <v>140.10846774193547</v>
      </c>
      <c r="L103" s="42">
        <v>5604.3387096774186</v>
      </c>
      <c r="M103" s="50"/>
      <c r="N103" s="39"/>
      <c r="O103" s="39"/>
      <c r="P103" s="42">
        <v>0</v>
      </c>
      <c r="Q103" s="52"/>
      <c r="S103" s="39"/>
      <c r="T103" s="39"/>
      <c r="U103" s="39"/>
      <c r="V103" s="39"/>
      <c r="W103" s="39"/>
      <c r="X103" s="39"/>
      <c r="Y103" s="39"/>
      <c r="Z103" s="39"/>
      <c r="AA103" s="39"/>
      <c r="AB103" s="39"/>
      <c r="AC103" s="39"/>
      <c r="AD103" s="39"/>
      <c r="AE103" s="39"/>
      <c r="AF103" s="39"/>
      <c r="AG103" s="39"/>
      <c r="AH103" s="39"/>
      <c r="AI103" s="39"/>
      <c r="AJ103" s="39"/>
      <c r="AK103" s="39"/>
      <c r="AL103" s="39"/>
      <c r="AM103" s="39"/>
      <c r="AN103" s="39"/>
      <c r="AO103" s="39"/>
      <c r="AP103" s="39"/>
      <c r="AQ103" s="39"/>
      <c r="AR103" s="39"/>
      <c r="AS103" s="39"/>
      <c r="AT103" s="39"/>
      <c r="AU103" s="39"/>
      <c r="AV103" s="39"/>
      <c r="AW103" s="39"/>
    </row>
    <row r="104" spans="1:49" s="64" customFormat="1" ht="12.75" customHeight="1" x14ac:dyDescent="0.25">
      <c r="A104" s="14" t="s">
        <v>48</v>
      </c>
      <c r="B104" s="15">
        <v>28243985</v>
      </c>
      <c r="C104" s="56" t="s">
        <v>296</v>
      </c>
      <c r="D104" s="91" t="s">
        <v>297</v>
      </c>
      <c r="E104" s="18" t="s">
        <v>958</v>
      </c>
      <c r="F104" s="58"/>
      <c r="G104" s="87"/>
      <c r="H104" s="87"/>
      <c r="I104" s="42"/>
      <c r="J104" s="20">
        <f>SUM(J105:J107)</f>
        <v>13</v>
      </c>
      <c r="K104" s="20">
        <v>140.10846774193499</v>
      </c>
      <c r="L104" s="22">
        <f>SUM(L105:L107)</f>
        <v>1821.4100806451611</v>
      </c>
      <c r="M104" s="88"/>
      <c r="N104" s="65"/>
      <c r="O104" s="65"/>
      <c r="P104" s="62"/>
      <c r="R104" s="48"/>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row>
    <row r="105" spans="1:49" s="48" customFormat="1" ht="12.75" customHeight="1" x14ac:dyDescent="0.25">
      <c r="A105" s="33" t="s">
        <v>48</v>
      </c>
      <c r="B105" s="51" t="s">
        <v>298</v>
      </c>
      <c r="C105" s="35" t="s">
        <v>299</v>
      </c>
      <c r="D105" s="86" t="s">
        <v>300</v>
      </c>
      <c r="E105" s="37" t="s">
        <v>54</v>
      </c>
      <c r="F105" s="38" t="s">
        <v>55</v>
      </c>
      <c r="G105" s="84"/>
      <c r="H105" s="40" t="s">
        <v>56</v>
      </c>
      <c r="I105" s="42"/>
      <c r="J105" s="39">
        <v>4</v>
      </c>
      <c r="K105" s="42">
        <v>140.10846774193547</v>
      </c>
      <c r="L105" s="42">
        <v>560.43387096774188</v>
      </c>
      <c r="M105" s="50"/>
      <c r="N105" s="39"/>
      <c r="O105" s="39"/>
      <c r="P105" s="42">
        <v>0</v>
      </c>
      <c r="Q105" s="52"/>
      <c r="S105" s="39"/>
      <c r="T105" s="39"/>
      <c r="U105" s="39"/>
      <c r="V105" s="39"/>
      <c r="W105" s="39"/>
      <c r="X105" s="39"/>
      <c r="Y105" s="39"/>
      <c r="Z105" s="39"/>
      <c r="AA105" s="39"/>
      <c r="AB105" s="39"/>
      <c r="AC105" s="39"/>
      <c r="AD105" s="39"/>
      <c r="AE105" s="39"/>
      <c r="AF105" s="39"/>
      <c r="AG105" s="39"/>
      <c r="AH105" s="39"/>
      <c r="AI105" s="39"/>
      <c r="AJ105" s="39"/>
      <c r="AK105" s="39"/>
      <c r="AL105" s="39"/>
      <c r="AM105" s="39"/>
      <c r="AN105" s="39"/>
      <c r="AO105" s="39"/>
      <c r="AP105" s="39"/>
      <c r="AQ105" s="39"/>
      <c r="AR105" s="39"/>
      <c r="AS105" s="39"/>
      <c r="AT105" s="39"/>
      <c r="AU105" s="39"/>
      <c r="AV105" s="39"/>
      <c r="AW105" s="39"/>
    </row>
    <row r="106" spans="1:49" s="48" customFormat="1" ht="12.75" customHeight="1" x14ac:dyDescent="0.25">
      <c r="A106" s="33" t="s">
        <v>48</v>
      </c>
      <c r="B106" s="51" t="s">
        <v>301</v>
      </c>
      <c r="C106" s="35" t="s">
        <v>302</v>
      </c>
      <c r="D106" s="92" t="s">
        <v>303</v>
      </c>
      <c r="E106" s="37" t="s">
        <v>54</v>
      </c>
      <c r="F106" s="38" t="s">
        <v>55</v>
      </c>
      <c r="G106" s="84"/>
      <c r="H106" s="40" t="s">
        <v>56</v>
      </c>
      <c r="I106" s="42"/>
      <c r="J106" s="39">
        <v>4</v>
      </c>
      <c r="K106" s="42">
        <v>140.10846774193547</v>
      </c>
      <c r="L106" s="42">
        <v>560.43387096774188</v>
      </c>
      <c r="M106" s="50"/>
      <c r="N106" s="39"/>
      <c r="O106" s="39"/>
      <c r="P106" s="42">
        <v>0</v>
      </c>
      <c r="Q106" s="52"/>
      <c r="S106" s="39"/>
      <c r="T106" s="39"/>
      <c r="U106" s="39"/>
      <c r="V106" s="39"/>
      <c r="W106" s="39"/>
      <c r="X106" s="39"/>
      <c r="Y106" s="39"/>
      <c r="Z106" s="39"/>
      <c r="AA106" s="39"/>
      <c r="AB106" s="39"/>
      <c r="AC106" s="39"/>
      <c r="AD106" s="39"/>
      <c r="AE106" s="39"/>
      <c r="AF106" s="39"/>
      <c r="AG106" s="39"/>
      <c r="AH106" s="39"/>
      <c r="AI106" s="39"/>
      <c r="AJ106" s="39"/>
      <c r="AK106" s="39"/>
      <c r="AL106" s="39"/>
      <c r="AM106" s="39"/>
      <c r="AN106" s="39"/>
      <c r="AO106" s="39"/>
      <c r="AP106" s="39"/>
      <c r="AQ106" s="39"/>
      <c r="AR106" s="39"/>
      <c r="AS106" s="39"/>
      <c r="AT106" s="39"/>
      <c r="AU106" s="39"/>
      <c r="AV106" s="39"/>
      <c r="AW106" s="39"/>
    </row>
    <row r="107" spans="1:49" s="48" customFormat="1" ht="12.75" customHeight="1" x14ac:dyDescent="0.25">
      <c r="A107" s="33" t="s">
        <v>48</v>
      </c>
      <c r="B107" s="51" t="s">
        <v>304</v>
      </c>
      <c r="C107" s="35" t="s">
        <v>305</v>
      </c>
      <c r="D107" s="92" t="s">
        <v>306</v>
      </c>
      <c r="E107" s="37" t="s">
        <v>54</v>
      </c>
      <c r="F107" s="38" t="s">
        <v>55</v>
      </c>
      <c r="G107" s="84"/>
      <c r="H107" s="40" t="s">
        <v>56</v>
      </c>
      <c r="I107" s="42"/>
      <c r="J107" s="39">
        <v>5</v>
      </c>
      <c r="K107" s="42">
        <v>140.10846774193547</v>
      </c>
      <c r="L107" s="42">
        <v>700.54233870967732</v>
      </c>
      <c r="M107" s="50"/>
      <c r="N107" s="39"/>
      <c r="O107" s="39"/>
      <c r="P107" s="42">
        <v>0</v>
      </c>
      <c r="Q107" s="52"/>
      <c r="S107" s="39"/>
      <c r="T107" s="39"/>
      <c r="U107" s="39"/>
      <c r="V107" s="39"/>
      <c r="W107" s="39"/>
      <c r="X107" s="39"/>
      <c r="Y107" s="39"/>
      <c r="Z107" s="39"/>
      <c r="AA107" s="39"/>
      <c r="AB107" s="39"/>
      <c r="AC107" s="39"/>
      <c r="AD107" s="39"/>
      <c r="AE107" s="39"/>
      <c r="AF107" s="39"/>
      <c r="AG107" s="39"/>
      <c r="AH107" s="39"/>
      <c r="AI107" s="39"/>
      <c r="AJ107" s="39"/>
      <c r="AK107" s="39"/>
      <c r="AL107" s="39"/>
      <c r="AM107" s="39"/>
      <c r="AN107" s="39"/>
      <c r="AO107" s="39"/>
      <c r="AP107" s="39"/>
      <c r="AQ107" s="39"/>
      <c r="AR107" s="39"/>
      <c r="AS107" s="39"/>
      <c r="AT107" s="39"/>
      <c r="AU107" s="39"/>
      <c r="AV107" s="39"/>
      <c r="AW107" s="39"/>
    </row>
    <row r="108" spans="1:49" s="64" customFormat="1" ht="12.75" customHeight="1" x14ac:dyDescent="0.25">
      <c r="A108" s="14" t="s">
        <v>48</v>
      </c>
      <c r="B108" s="15">
        <v>28243985</v>
      </c>
      <c r="C108" s="56" t="s">
        <v>307</v>
      </c>
      <c r="D108" s="80" t="s">
        <v>308</v>
      </c>
      <c r="E108" s="18" t="s">
        <v>958</v>
      </c>
      <c r="F108" s="58"/>
      <c r="G108" s="87"/>
      <c r="H108" s="87"/>
      <c r="I108" s="42"/>
      <c r="J108" s="20">
        <f>SUM(J109:J113)</f>
        <v>36</v>
      </c>
      <c r="K108" s="20">
        <v>140.10846774193499</v>
      </c>
      <c r="L108" s="22">
        <f>SUM(L109:L113)</f>
        <v>5043.9048387096773</v>
      </c>
      <c r="M108" s="88"/>
      <c r="N108" s="65"/>
      <c r="O108" s="65"/>
      <c r="P108" s="62"/>
      <c r="R108" s="48"/>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row>
    <row r="109" spans="1:49" s="48" customFormat="1" ht="12.75" customHeight="1" x14ac:dyDescent="0.25">
      <c r="A109" s="33" t="s">
        <v>48</v>
      </c>
      <c r="B109" s="51" t="s">
        <v>309</v>
      </c>
      <c r="C109" s="35" t="s">
        <v>310</v>
      </c>
      <c r="D109" s="93" t="s">
        <v>311</v>
      </c>
      <c r="E109" s="37" t="s">
        <v>54</v>
      </c>
      <c r="F109" s="38" t="s">
        <v>55</v>
      </c>
      <c r="G109" s="84"/>
      <c r="H109" s="40" t="s">
        <v>56</v>
      </c>
      <c r="I109" s="42"/>
      <c r="J109" s="39">
        <v>2</v>
      </c>
      <c r="K109" s="42">
        <v>140.10846774193547</v>
      </c>
      <c r="L109" s="42">
        <v>280.21693548387094</v>
      </c>
      <c r="M109" s="50"/>
      <c r="N109" s="39"/>
      <c r="O109" s="39"/>
      <c r="P109" s="42">
        <v>0</v>
      </c>
      <c r="Q109" s="52"/>
      <c r="S109" s="39"/>
      <c r="T109" s="39"/>
      <c r="U109" s="39"/>
      <c r="V109" s="39"/>
      <c r="W109" s="39"/>
      <c r="X109" s="39"/>
      <c r="Y109" s="39"/>
      <c r="Z109" s="39"/>
      <c r="AA109" s="39"/>
      <c r="AB109" s="39"/>
      <c r="AC109" s="39"/>
      <c r="AD109" s="39"/>
      <c r="AE109" s="39"/>
      <c r="AF109" s="39"/>
      <c r="AG109" s="39"/>
      <c r="AH109" s="39"/>
      <c r="AI109" s="39"/>
      <c r="AJ109" s="39"/>
      <c r="AK109" s="39"/>
      <c r="AL109" s="39"/>
      <c r="AM109" s="39"/>
      <c r="AN109" s="39"/>
      <c r="AO109" s="39"/>
      <c r="AP109" s="39"/>
      <c r="AQ109" s="39"/>
      <c r="AR109" s="39"/>
      <c r="AS109" s="39"/>
      <c r="AT109" s="39"/>
      <c r="AU109" s="39"/>
      <c r="AV109" s="39"/>
      <c r="AW109" s="39"/>
    </row>
    <row r="110" spans="1:49" s="48" customFormat="1" ht="12.75" customHeight="1" x14ac:dyDescent="0.25">
      <c r="A110" s="33" t="s">
        <v>48</v>
      </c>
      <c r="B110" s="51" t="s">
        <v>312</v>
      </c>
      <c r="C110" s="35" t="s">
        <v>313</v>
      </c>
      <c r="D110" s="93" t="s">
        <v>314</v>
      </c>
      <c r="E110" s="37" t="s">
        <v>54</v>
      </c>
      <c r="F110" s="38" t="s">
        <v>55</v>
      </c>
      <c r="G110" s="84"/>
      <c r="H110" s="40" t="s">
        <v>56</v>
      </c>
      <c r="I110" s="42"/>
      <c r="J110" s="39">
        <v>4</v>
      </c>
      <c r="K110" s="42">
        <v>140.10846774193547</v>
      </c>
      <c r="L110" s="42">
        <v>560.43387096774188</v>
      </c>
      <c r="M110" s="50"/>
      <c r="N110" s="39"/>
      <c r="O110" s="39"/>
      <c r="P110" s="42">
        <v>0</v>
      </c>
      <c r="Q110" s="52"/>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row>
    <row r="111" spans="1:49" s="48" customFormat="1" ht="12.75" customHeight="1" x14ac:dyDescent="0.25">
      <c r="A111" s="33" t="s">
        <v>48</v>
      </c>
      <c r="B111" s="51" t="s">
        <v>315</v>
      </c>
      <c r="C111" s="35" t="s">
        <v>316</v>
      </c>
      <c r="D111" s="93" t="s">
        <v>317</v>
      </c>
      <c r="E111" s="37" t="s">
        <v>54</v>
      </c>
      <c r="F111" s="38" t="s">
        <v>55</v>
      </c>
      <c r="G111" s="84"/>
      <c r="H111" s="40" t="s">
        <v>56</v>
      </c>
      <c r="I111" s="42"/>
      <c r="J111" s="39">
        <v>4</v>
      </c>
      <c r="K111" s="42">
        <v>140.10846774193547</v>
      </c>
      <c r="L111" s="42">
        <v>560.43387096774188</v>
      </c>
      <c r="M111" s="50"/>
      <c r="N111" s="39"/>
      <c r="O111" s="39"/>
      <c r="P111" s="42">
        <v>0</v>
      </c>
      <c r="Q111" s="52"/>
      <c r="S111" s="39"/>
      <c r="T111" s="39"/>
      <c r="U111" s="39"/>
      <c r="V111" s="39"/>
      <c r="W111" s="39"/>
      <c r="X111" s="39"/>
      <c r="Y111" s="39"/>
      <c r="Z111" s="39"/>
      <c r="AA111" s="39"/>
      <c r="AB111" s="39"/>
      <c r="AC111" s="39"/>
      <c r="AD111" s="39"/>
      <c r="AE111" s="39"/>
      <c r="AF111" s="39"/>
      <c r="AG111" s="39"/>
      <c r="AH111" s="39"/>
      <c r="AI111" s="39"/>
      <c r="AJ111" s="39"/>
      <c r="AK111" s="39"/>
      <c r="AL111" s="39"/>
      <c r="AM111" s="39"/>
      <c r="AN111" s="39"/>
      <c r="AO111" s="39"/>
      <c r="AP111" s="39"/>
      <c r="AQ111" s="39"/>
      <c r="AR111" s="39"/>
      <c r="AS111" s="39"/>
      <c r="AT111" s="39"/>
      <c r="AU111" s="39"/>
      <c r="AV111" s="39"/>
      <c r="AW111" s="39"/>
    </row>
    <row r="112" spans="1:49" s="48" customFormat="1" ht="12.75" customHeight="1" x14ac:dyDescent="0.25">
      <c r="A112" s="33" t="s">
        <v>48</v>
      </c>
      <c r="B112" s="51" t="s">
        <v>318</v>
      </c>
      <c r="C112" s="35" t="s">
        <v>319</v>
      </c>
      <c r="D112" s="93" t="s">
        <v>320</v>
      </c>
      <c r="E112" s="37" t="s">
        <v>54</v>
      </c>
      <c r="F112" s="38" t="s">
        <v>55</v>
      </c>
      <c r="G112" s="84"/>
      <c r="H112" s="40" t="s">
        <v>56</v>
      </c>
      <c r="I112" s="42"/>
      <c r="J112" s="39">
        <v>2</v>
      </c>
      <c r="K112" s="42">
        <v>140.10846774193547</v>
      </c>
      <c r="L112" s="42">
        <v>280.21693548387094</v>
      </c>
      <c r="M112" s="50"/>
      <c r="N112" s="39"/>
      <c r="O112" s="39"/>
      <c r="P112" s="42">
        <v>0</v>
      </c>
      <c r="Q112" s="52"/>
      <c r="S112" s="39"/>
      <c r="T112" s="39"/>
      <c r="U112" s="39"/>
      <c r="V112" s="39"/>
      <c r="W112" s="39"/>
      <c r="X112" s="39"/>
      <c r="Y112" s="39"/>
      <c r="Z112" s="39"/>
      <c r="AA112" s="39"/>
      <c r="AB112" s="39"/>
      <c r="AC112" s="39"/>
      <c r="AD112" s="39"/>
      <c r="AE112" s="39"/>
      <c r="AF112" s="39"/>
      <c r="AG112" s="39"/>
      <c r="AH112" s="39"/>
      <c r="AI112" s="39"/>
      <c r="AJ112" s="39"/>
      <c r="AK112" s="39"/>
      <c r="AL112" s="39"/>
      <c r="AM112" s="39"/>
      <c r="AN112" s="39"/>
      <c r="AO112" s="39"/>
      <c r="AP112" s="39"/>
      <c r="AQ112" s="39"/>
      <c r="AR112" s="39"/>
      <c r="AS112" s="39"/>
      <c r="AT112" s="39"/>
      <c r="AU112" s="39"/>
      <c r="AV112" s="39"/>
      <c r="AW112" s="39"/>
    </row>
    <row r="113" spans="1:49" s="48" customFormat="1" ht="12.75" customHeight="1" x14ac:dyDescent="0.25">
      <c r="A113" s="33" t="s">
        <v>48</v>
      </c>
      <c r="B113" s="51" t="s">
        <v>321</v>
      </c>
      <c r="C113" s="35" t="s">
        <v>322</v>
      </c>
      <c r="D113" s="93" t="s">
        <v>323</v>
      </c>
      <c r="E113" s="37" t="s">
        <v>54</v>
      </c>
      <c r="F113" s="38" t="s">
        <v>55</v>
      </c>
      <c r="G113" s="84"/>
      <c r="H113" s="40" t="s">
        <v>56</v>
      </c>
      <c r="I113" s="42"/>
      <c r="J113" s="41">
        <v>24</v>
      </c>
      <c r="K113" s="42">
        <v>140.10846774193547</v>
      </c>
      <c r="L113" s="42">
        <v>3362.6032258064515</v>
      </c>
      <c r="M113" s="50"/>
      <c r="N113" s="39"/>
      <c r="O113" s="39"/>
      <c r="P113" s="42">
        <v>0</v>
      </c>
      <c r="Q113" s="52"/>
      <c r="S113" s="39"/>
      <c r="T113" s="39"/>
      <c r="U113" s="39"/>
      <c r="V113" s="39"/>
      <c r="W113" s="39"/>
      <c r="X113" s="39"/>
      <c r="Y113" s="39"/>
      <c r="Z113" s="39"/>
      <c r="AA113" s="39"/>
      <c r="AB113" s="39"/>
      <c r="AC113" s="39"/>
      <c r="AD113" s="39"/>
      <c r="AE113" s="39"/>
      <c r="AF113" s="39"/>
      <c r="AG113" s="39"/>
      <c r="AH113" s="39"/>
      <c r="AI113" s="39"/>
      <c r="AJ113" s="39"/>
      <c r="AK113" s="39"/>
      <c r="AL113" s="39"/>
      <c r="AM113" s="39"/>
      <c r="AN113" s="39"/>
      <c r="AO113" s="39"/>
      <c r="AP113" s="39"/>
      <c r="AQ113" s="39"/>
      <c r="AR113" s="39"/>
      <c r="AS113" s="39"/>
      <c r="AT113" s="39"/>
      <c r="AU113" s="39"/>
      <c r="AV113" s="39"/>
      <c r="AW113" s="39"/>
    </row>
    <row r="114" spans="1:49" s="64" customFormat="1" ht="12.75" customHeight="1" x14ac:dyDescent="0.25">
      <c r="A114" s="14" t="s">
        <v>48</v>
      </c>
      <c r="B114" s="15">
        <v>28243985</v>
      </c>
      <c r="C114" s="56" t="s">
        <v>324</v>
      </c>
      <c r="D114" s="80" t="s">
        <v>325</v>
      </c>
      <c r="E114" s="18" t="s">
        <v>958</v>
      </c>
      <c r="F114" s="58"/>
      <c r="G114" s="87"/>
      <c r="H114" s="87"/>
      <c r="I114" s="42"/>
      <c r="J114" s="20">
        <f>SUM(J115:J117)</f>
        <v>44.5</v>
      </c>
      <c r="K114" s="20">
        <v>140.10846774193499</v>
      </c>
      <c r="L114" s="22">
        <f>SUM(L115:L117)</f>
        <v>6234.8268145161292</v>
      </c>
      <c r="M114" s="88"/>
      <c r="N114" s="65"/>
      <c r="O114" s="65"/>
      <c r="P114" s="62"/>
      <c r="R114" s="48"/>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row>
    <row r="115" spans="1:49" s="48" customFormat="1" ht="12.75" customHeight="1" x14ac:dyDescent="0.25">
      <c r="A115" s="33" t="s">
        <v>48</v>
      </c>
      <c r="B115" s="51" t="s">
        <v>326</v>
      </c>
      <c r="C115" s="35" t="s">
        <v>327</v>
      </c>
      <c r="D115" s="93" t="s">
        <v>328</v>
      </c>
      <c r="E115" s="37" t="s">
        <v>54</v>
      </c>
      <c r="F115" s="38" t="s">
        <v>55</v>
      </c>
      <c r="G115" s="84"/>
      <c r="H115" s="40" t="s">
        <v>56</v>
      </c>
      <c r="I115" s="42"/>
      <c r="J115" s="39">
        <v>4</v>
      </c>
      <c r="K115" s="42">
        <v>140.10846774193547</v>
      </c>
      <c r="L115" s="42">
        <v>560.43387096774188</v>
      </c>
      <c r="M115" s="50"/>
      <c r="N115" s="39"/>
      <c r="O115" s="39"/>
      <c r="P115" s="42">
        <v>0</v>
      </c>
      <c r="Q115" s="52"/>
      <c r="S115" s="39"/>
      <c r="T115" s="39"/>
      <c r="U115" s="39"/>
      <c r="V115" s="39"/>
      <c r="W115" s="39"/>
      <c r="X115" s="39"/>
      <c r="Y115" s="39"/>
      <c r="Z115" s="39"/>
      <c r="AA115" s="39"/>
      <c r="AB115" s="39"/>
      <c r="AC115" s="39"/>
      <c r="AD115" s="39"/>
      <c r="AE115" s="39"/>
      <c r="AF115" s="39"/>
      <c r="AG115" s="39"/>
      <c r="AH115" s="39"/>
      <c r="AI115" s="39"/>
      <c r="AJ115" s="39"/>
      <c r="AK115" s="39"/>
      <c r="AL115" s="39"/>
      <c r="AM115" s="39"/>
      <c r="AN115" s="39"/>
      <c r="AO115" s="39"/>
      <c r="AP115" s="39"/>
      <c r="AQ115" s="39"/>
      <c r="AR115" s="39"/>
      <c r="AS115" s="39"/>
      <c r="AT115" s="39"/>
      <c r="AU115" s="39"/>
      <c r="AV115" s="39"/>
      <c r="AW115" s="39"/>
    </row>
    <row r="116" spans="1:49" s="48" customFormat="1" ht="12.75" customHeight="1" x14ac:dyDescent="0.25">
      <c r="A116" s="33" t="s">
        <v>48</v>
      </c>
      <c r="B116" s="51" t="s">
        <v>329</v>
      </c>
      <c r="C116" s="35" t="s">
        <v>330</v>
      </c>
      <c r="D116" s="93" t="s">
        <v>331</v>
      </c>
      <c r="E116" s="37" t="s">
        <v>54</v>
      </c>
      <c r="F116" s="38" t="s">
        <v>55</v>
      </c>
      <c r="G116" s="84"/>
      <c r="H116" s="40" t="s">
        <v>56</v>
      </c>
      <c r="I116" s="42"/>
      <c r="J116" s="39">
        <v>30</v>
      </c>
      <c r="K116" s="42">
        <v>140.10846774193547</v>
      </c>
      <c r="L116" s="42">
        <v>4203.2540322580644</v>
      </c>
      <c r="M116" s="50"/>
      <c r="N116" s="39"/>
      <c r="O116" s="39"/>
      <c r="P116" s="42">
        <v>0</v>
      </c>
      <c r="Q116" s="52"/>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row>
    <row r="117" spans="1:49" s="48" customFormat="1" ht="12.75" customHeight="1" x14ac:dyDescent="0.25">
      <c r="A117" s="33" t="s">
        <v>48</v>
      </c>
      <c r="B117" s="51" t="s">
        <v>332</v>
      </c>
      <c r="C117" s="35" t="s">
        <v>333</v>
      </c>
      <c r="D117" s="93" t="s">
        <v>334</v>
      </c>
      <c r="E117" s="37" t="s">
        <v>54</v>
      </c>
      <c r="F117" s="38" t="s">
        <v>55</v>
      </c>
      <c r="G117" s="84"/>
      <c r="H117" s="40" t="s">
        <v>56</v>
      </c>
      <c r="I117" s="42"/>
      <c r="J117" s="39">
        <v>10.5</v>
      </c>
      <c r="K117" s="42">
        <v>140.10846774193547</v>
      </c>
      <c r="L117" s="42">
        <v>1471.1389112903225</v>
      </c>
      <c r="M117" s="50"/>
      <c r="N117" s="39"/>
      <c r="O117" s="39"/>
      <c r="P117" s="42">
        <v>0</v>
      </c>
      <c r="Q117" s="52"/>
      <c r="S117" s="39"/>
      <c r="T117" s="39"/>
      <c r="U117" s="39"/>
      <c r="V117" s="39"/>
      <c r="W117" s="39"/>
      <c r="X117" s="39"/>
      <c r="Y117" s="39"/>
      <c r="Z117" s="39"/>
      <c r="AA117" s="39"/>
      <c r="AB117" s="39"/>
      <c r="AC117" s="39"/>
      <c r="AD117" s="39"/>
      <c r="AE117" s="39"/>
      <c r="AF117" s="39"/>
      <c r="AG117" s="39"/>
      <c r="AH117" s="39"/>
      <c r="AI117" s="39"/>
      <c r="AJ117" s="39"/>
      <c r="AK117" s="39"/>
      <c r="AL117" s="39"/>
      <c r="AM117" s="39"/>
      <c r="AN117" s="39"/>
      <c r="AO117" s="39"/>
      <c r="AP117" s="39"/>
      <c r="AQ117" s="39"/>
      <c r="AR117" s="39"/>
      <c r="AS117" s="39"/>
      <c r="AT117" s="39"/>
      <c r="AU117" s="39"/>
      <c r="AV117" s="39"/>
      <c r="AW117" s="39"/>
    </row>
    <row r="118" spans="1:49" s="64" customFormat="1" ht="12.75" customHeight="1" x14ac:dyDescent="0.25">
      <c r="A118" s="14" t="s">
        <v>48</v>
      </c>
      <c r="B118" s="15" t="s">
        <v>335</v>
      </c>
      <c r="C118" s="56" t="s">
        <v>336</v>
      </c>
      <c r="D118" s="80" t="s">
        <v>337</v>
      </c>
      <c r="E118" s="18" t="s">
        <v>958</v>
      </c>
      <c r="F118" s="58"/>
      <c r="G118" s="87"/>
      <c r="H118" s="87"/>
      <c r="I118" s="42"/>
      <c r="J118" s="20">
        <f>SUM(J119:J121)</f>
        <v>37</v>
      </c>
      <c r="K118" s="20">
        <v>140.10846774193499</v>
      </c>
      <c r="L118" s="22">
        <f>SUM(L119:L121)</f>
        <v>5184.0133064516122</v>
      </c>
      <c r="M118" s="88"/>
      <c r="N118" s="65"/>
      <c r="O118" s="65"/>
      <c r="P118" s="62"/>
      <c r="R118" s="48"/>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c r="AR118" s="65"/>
      <c r="AS118" s="65"/>
      <c r="AT118" s="65"/>
      <c r="AU118" s="65"/>
      <c r="AV118" s="65"/>
      <c r="AW118" s="65"/>
    </row>
    <row r="119" spans="1:49" s="48" customFormat="1" ht="12.75" customHeight="1" x14ac:dyDescent="0.25">
      <c r="A119" s="33" t="s">
        <v>48</v>
      </c>
      <c r="B119" s="51" t="s">
        <v>335</v>
      </c>
      <c r="C119" s="35" t="s">
        <v>338</v>
      </c>
      <c r="D119" s="93" t="s">
        <v>339</v>
      </c>
      <c r="E119" s="37" t="s">
        <v>54</v>
      </c>
      <c r="F119" s="38" t="s">
        <v>55</v>
      </c>
      <c r="G119" s="84"/>
      <c r="H119" s="40" t="s">
        <v>56</v>
      </c>
      <c r="I119" s="42"/>
      <c r="J119" s="94">
        <v>4</v>
      </c>
      <c r="K119" s="42">
        <v>140.10846774193547</v>
      </c>
      <c r="L119" s="42">
        <v>560.43387096774188</v>
      </c>
      <c r="M119" s="50"/>
      <c r="N119" s="39"/>
      <c r="O119" s="39"/>
      <c r="P119" s="42">
        <v>0</v>
      </c>
      <c r="Q119" s="52"/>
      <c r="S119" s="39"/>
      <c r="T119" s="39"/>
      <c r="U119" s="39"/>
      <c r="V119" s="39"/>
      <c r="W119" s="39"/>
      <c r="X119" s="39"/>
      <c r="Y119" s="39"/>
      <c r="Z119" s="39"/>
      <c r="AA119" s="39"/>
      <c r="AB119" s="39"/>
      <c r="AC119" s="39"/>
      <c r="AD119" s="39"/>
      <c r="AE119" s="39"/>
      <c r="AF119" s="39"/>
      <c r="AG119" s="39"/>
      <c r="AH119" s="39"/>
      <c r="AI119" s="39"/>
      <c r="AJ119" s="39"/>
      <c r="AK119" s="39"/>
      <c r="AL119" s="39"/>
      <c r="AM119" s="39"/>
      <c r="AN119" s="39"/>
      <c r="AO119" s="39"/>
      <c r="AP119" s="39"/>
      <c r="AQ119" s="39"/>
      <c r="AR119" s="39"/>
      <c r="AS119" s="39"/>
      <c r="AT119" s="39"/>
      <c r="AU119" s="39"/>
      <c r="AV119" s="39"/>
      <c r="AW119" s="39"/>
    </row>
    <row r="120" spans="1:49" s="48" customFormat="1" ht="12.75" customHeight="1" x14ac:dyDescent="0.25">
      <c r="A120" s="33" t="s">
        <v>48</v>
      </c>
      <c r="B120" s="51" t="s">
        <v>340</v>
      </c>
      <c r="C120" s="35" t="s">
        <v>341</v>
      </c>
      <c r="D120" s="93" t="s">
        <v>342</v>
      </c>
      <c r="E120" s="37" t="s">
        <v>54</v>
      </c>
      <c r="F120" s="38" t="s">
        <v>55</v>
      </c>
      <c r="G120" s="84"/>
      <c r="H120" s="40" t="s">
        <v>56</v>
      </c>
      <c r="I120" s="42"/>
      <c r="J120" s="94">
        <v>15</v>
      </c>
      <c r="K120" s="42">
        <v>140.10846774193547</v>
      </c>
      <c r="L120" s="42">
        <v>2101.6270161290322</v>
      </c>
      <c r="M120" s="50"/>
      <c r="N120" s="39"/>
      <c r="O120" s="39"/>
      <c r="P120" s="42">
        <v>0</v>
      </c>
      <c r="Q120" s="52"/>
      <c r="S120" s="39"/>
      <c r="T120" s="39"/>
      <c r="U120" s="39"/>
      <c r="V120" s="39"/>
      <c r="W120" s="39"/>
      <c r="X120" s="39"/>
      <c r="Y120" s="39"/>
      <c r="Z120" s="39"/>
      <c r="AA120" s="39"/>
      <c r="AB120" s="39"/>
      <c r="AC120" s="39"/>
      <c r="AD120" s="39"/>
      <c r="AE120" s="39"/>
      <c r="AF120" s="39"/>
      <c r="AG120" s="39"/>
      <c r="AH120" s="39"/>
      <c r="AI120" s="39"/>
      <c r="AJ120" s="39"/>
      <c r="AK120" s="39"/>
      <c r="AL120" s="39"/>
      <c r="AM120" s="39"/>
      <c r="AN120" s="39"/>
      <c r="AO120" s="39"/>
      <c r="AP120" s="39"/>
      <c r="AQ120" s="39"/>
      <c r="AR120" s="39"/>
      <c r="AS120" s="39"/>
      <c r="AT120" s="39"/>
      <c r="AU120" s="39"/>
      <c r="AV120" s="39"/>
      <c r="AW120" s="39"/>
    </row>
    <row r="121" spans="1:49" s="48" customFormat="1" ht="12.75" customHeight="1" x14ac:dyDescent="0.25">
      <c r="A121" s="33" t="s">
        <v>48</v>
      </c>
      <c r="B121" s="51" t="s">
        <v>343</v>
      </c>
      <c r="C121" s="35" t="s">
        <v>344</v>
      </c>
      <c r="D121" s="93" t="s">
        <v>334</v>
      </c>
      <c r="E121" s="37" t="s">
        <v>54</v>
      </c>
      <c r="F121" s="38" t="s">
        <v>55</v>
      </c>
      <c r="G121" s="84"/>
      <c r="H121" s="40" t="s">
        <v>56</v>
      </c>
      <c r="I121" s="42"/>
      <c r="J121" s="94">
        <v>18</v>
      </c>
      <c r="K121" s="42">
        <v>140.10846774193547</v>
      </c>
      <c r="L121" s="42">
        <v>2521.9524193548386</v>
      </c>
      <c r="M121" s="50"/>
      <c r="N121" s="39"/>
      <c r="O121" s="39"/>
      <c r="P121" s="42">
        <v>0</v>
      </c>
      <c r="Q121" s="52"/>
      <c r="S121" s="39"/>
      <c r="T121" s="39"/>
      <c r="U121" s="39"/>
      <c r="V121" s="39"/>
      <c r="W121" s="39"/>
      <c r="X121" s="39"/>
      <c r="Y121" s="39"/>
      <c r="Z121" s="39"/>
      <c r="AA121" s="39"/>
      <c r="AB121" s="39"/>
      <c r="AC121" s="39"/>
      <c r="AD121" s="39"/>
      <c r="AE121" s="39"/>
      <c r="AF121" s="39"/>
      <c r="AG121" s="39"/>
      <c r="AH121" s="39"/>
      <c r="AI121" s="39"/>
      <c r="AJ121" s="39"/>
      <c r="AK121" s="39"/>
      <c r="AL121" s="39"/>
      <c r="AM121" s="39"/>
      <c r="AN121" s="39"/>
      <c r="AO121" s="39"/>
      <c r="AP121" s="39"/>
      <c r="AQ121" s="39"/>
      <c r="AR121" s="39"/>
      <c r="AS121" s="39"/>
      <c r="AT121" s="39"/>
      <c r="AU121" s="39"/>
      <c r="AV121" s="39"/>
      <c r="AW121" s="39"/>
    </row>
    <row r="122" spans="1:49" s="64" customFormat="1" ht="12.75" customHeight="1" x14ac:dyDescent="0.25">
      <c r="A122" s="14" t="s">
        <v>48</v>
      </c>
      <c r="B122" s="15">
        <v>28243985</v>
      </c>
      <c r="C122" s="56" t="s">
        <v>345</v>
      </c>
      <c r="D122" s="95" t="s">
        <v>346</v>
      </c>
      <c r="E122" s="18" t="s">
        <v>958</v>
      </c>
      <c r="F122" s="58"/>
      <c r="G122" s="87"/>
      <c r="H122" s="87"/>
      <c r="I122" s="42"/>
      <c r="J122" s="20">
        <f>SUM(J123:J125)</f>
        <v>58</v>
      </c>
      <c r="K122" s="20">
        <v>140.10846774193499</v>
      </c>
      <c r="L122" s="22">
        <f>SUM(L123:L125)</f>
        <v>8126.2911290322572</v>
      </c>
      <c r="M122" s="88"/>
      <c r="N122" s="65"/>
      <c r="O122" s="65"/>
      <c r="P122" s="62"/>
      <c r="R122" s="48"/>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c r="AR122" s="65"/>
      <c r="AS122" s="65"/>
      <c r="AT122" s="65"/>
      <c r="AU122" s="65"/>
      <c r="AV122" s="65"/>
      <c r="AW122" s="65"/>
    </row>
    <row r="123" spans="1:49" s="48" customFormat="1" ht="12.75" customHeight="1" x14ac:dyDescent="0.25">
      <c r="A123" s="33" t="s">
        <v>48</v>
      </c>
      <c r="B123" s="51" t="s">
        <v>347</v>
      </c>
      <c r="C123" s="35" t="s">
        <v>348</v>
      </c>
      <c r="D123" s="93" t="s">
        <v>349</v>
      </c>
      <c r="E123" s="37" t="s">
        <v>54</v>
      </c>
      <c r="F123" s="38" t="s">
        <v>55</v>
      </c>
      <c r="G123" s="84"/>
      <c r="H123" s="40" t="s">
        <v>56</v>
      </c>
      <c r="I123" s="42"/>
      <c r="J123" s="39">
        <v>6</v>
      </c>
      <c r="K123" s="42">
        <v>140.10846774193547</v>
      </c>
      <c r="L123" s="42">
        <v>840.65080645161288</v>
      </c>
      <c r="M123" s="50"/>
      <c r="N123" s="39"/>
      <c r="O123" s="39"/>
      <c r="P123" s="42">
        <v>0</v>
      </c>
      <c r="Q123" s="52"/>
      <c r="S123" s="39"/>
      <c r="T123" s="39"/>
      <c r="U123" s="39"/>
      <c r="V123" s="39"/>
      <c r="W123" s="39"/>
      <c r="X123" s="39"/>
      <c r="Y123" s="39"/>
      <c r="Z123" s="39"/>
      <c r="AA123" s="39"/>
      <c r="AB123" s="39"/>
      <c r="AC123" s="39"/>
      <c r="AD123" s="39"/>
      <c r="AE123" s="39"/>
      <c r="AF123" s="39"/>
      <c r="AG123" s="39"/>
      <c r="AH123" s="39"/>
      <c r="AI123" s="39"/>
      <c r="AJ123" s="39"/>
      <c r="AK123" s="39"/>
      <c r="AL123" s="39"/>
      <c r="AM123" s="39"/>
      <c r="AN123" s="39"/>
      <c r="AO123" s="39"/>
      <c r="AP123" s="39"/>
      <c r="AQ123" s="39"/>
      <c r="AR123" s="39"/>
      <c r="AS123" s="39"/>
      <c r="AT123" s="39"/>
      <c r="AU123" s="39"/>
      <c r="AV123" s="39"/>
      <c r="AW123" s="39"/>
    </row>
    <row r="124" spans="1:49" s="48" customFormat="1" ht="12.75" customHeight="1" x14ac:dyDescent="0.25">
      <c r="A124" s="33" t="s">
        <v>48</v>
      </c>
      <c r="B124" s="51" t="s">
        <v>350</v>
      </c>
      <c r="C124" s="35" t="s">
        <v>351</v>
      </c>
      <c r="D124" s="93" t="s">
        <v>352</v>
      </c>
      <c r="E124" s="37" t="s">
        <v>54</v>
      </c>
      <c r="F124" s="38" t="s">
        <v>55</v>
      </c>
      <c r="G124" s="84"/>
      <c r="H124" s="40" t="s">
        <v>56</v>
      </c>
      <c r="I124" s="42"/>
      <c r="J124" s="39">
        <v>21</v>
      </c>
      <c r="K124" s="42">
        <v>140.10846774193547</v>
      </c>
      <c r="L124" s="42">
        <v>2942.2778225806451</v>
      </c>
      <c r="M124" s="50"/>
      <c r="N124" s="39"/>
      <c r="O124" s="39"/>
      <c r="P124" s="42">
        <v>0</v>
      </c>
      <c r="Q124" s="52"/>
      <c r="S124" s="39"/>
      <c r="T124" s="39"/>
      <c r="U124" s="39"/>
      <c r="V124" s="39"/>
      <c r="W124" s="39"/>
      <c r="X124" s="39"/>
      <c r="Y124" s="39"/>
      <c r="Z124" s="39"/>
      <c r="AA124" s="39"/>
      <c r="AB124" s="39"/>
      <c r="AC124" s="39"/>
      <c r="AD124" s="39"/>
      <c r="AE124" s="39"/>
      <c r="AF124" s="39"/>
      <c r="AG124" s="39"/>
      <c r="AH124" s="39"/>
      <c r="AI124" s="39"/>
      <c r="AJ124" s="39"/>
      <c r="AK124" s="39"/>
      <c r="AL124" s="39"/>
      <c r="AM124" s="39"/>
      <c r="AN124" s="39"/>
      <c r="AO124" s="39"/>
      <c r="AP124" s="39"/>
      <c r="AQ124" s="39"/>
      <c r="AR124" s="39"/>
      <c r="AS124" s="39"/>
      <c r="AT124" s="39"/>
      <c r="AU124" s="39"/>
      <c r="AV124" s="39"/>
      <c r="AW124" s="39"/>
    </row>
    <row r="125" spans="1:49" s="48" customFormat="1" ht="12.75" customHeight="1" x14ac:dyDescent="0.25">
      <c r="A125" s="33" t="s">
        <v>48</v>
      </c>
      <c r="B125" s="51" t="s">
        <v>353</v>
      </c>
      <c r="C125" s="35" t="s">
        <v>354</v>
      </c>
      <c r="D125" s="93" t="s">
        <v>355</v>
      </c>
      <c r="E125" s="37" t="s">
        <v>54</v>
      </c>
      <c r="F125" s="38" t="s">
        <v>55</v>
      </c>
      <c r="G125" s="84"/>
      <c r="H125" s="40" t="s">
        <v>56</v>
      </c>
      <c r="I125" s="42"/>
      <c r="J125" s="39">
        <v>31</v>
      </c>
      <c r="K125" s="42">
        <v>140.10846774193547</v>
      </c>
      <c r="L125" s="42">
        <v>4343.3624999999993</v>
      </c>
      <c r="M125" s="50"/>
      <c r="N125" s="39"/>
      <c r="O125" s="39"/>
      <c r="P125" s="42">
        <v>0</v>
      </c>
      <c r="Q125" s="52"/>
      <c r="S125" s="39"/>
      <c r="T125" s="39"/>
      <c r="U125" s="39"/>
      <c r="V125" s="39"/>
      <c r="W125" s="39"/>
      <c r="X125" s="39"/>
      <c r="Y125" s="39"/>
      <c r="Z125" s="39"/>
      <c r="AA125" s="39"/>
      <c r="AB125" s="39"/>
      <c r="AC125" s="39"/>
      <c r="AD125" s="39"/>
      <c r="AE125" s="39"/>
      <c r="AF125" s="39"/>
      <c r="AG125" s="39"/>
      <c r="AH125" s="39"/>
      <c r="AI125" s="39"/>
      <c r="AJ125" s="39"/>
      <c r="AK125" s="39"/>
      <c r="AL125" s="39"/>
      <c r="AM125" s="39"/>
      <c r="AN125" s="39"/>
      <c r="AO125" s="39"/>
      <c r="AP125" s="39"/>
      <c r="AQ125" s="39"/>
      <c r="AR125" s="39"/>
      <c r="AS125" s="39"/>
      <c r="AT125" s="39"/>
      <c r="AU125" s="39"/>
      <c r="AV125" s="39"/>
      <c r="AW125" s="39"/>
    </row>
    <row r="126" spans="1:49" s="64" customFormat="1" ht="12.75" customHeight="1" x14ac:dyDescent="0.25">
      <c r="A126" s="14" t="s">
        <v>48</v>
      </c>
      <c r="B126" s="15">
        <v>28243985</v>
      </c>
      <c r="C126" s="56" t="s">
        <v>356</v>
      </c>
      <c r="D126" s="95" t="s">
        <v>357</v>
      </c>
      <c r="E126" s="18" t="s">
        <v>958</v>
      </c>
      <c r="F126" s="58"/>
      <c r="G126" s="87"/>
      <c r="H126" s="87"/>
      <c r="I126" s="42"/>
      <c r="J126" s="20">
        <f>SUM(J127:J129)</f>
        <v>61</v>
      </c>
      <c r="K126" s="20">
        <v>140.10846774193499</v>
      </c>
      <c r="L126" s="22">
        <f>SUM(L127:L129)</f>
        <v>8546.6165322580637</v>
      </c>
      <c r="M126" s="88"/>
      <c r="N126" s="65"/>
      <c r="O126" s="65"/>
      <c r="P126" s="62"/>
      <c r="R126" s="48"/>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c r="AR126" s="65"/>
      <c r="AS126" s="65"/>
      <c r="AT126" s="65"/>
      <c r="AU126" s="65"/>
      <c r="AV126" s="65"/>
      <c r="AW126" s="65"/>
    </row>
    <row r="127" spans="1:49" s="48" customFormat="1" ht="12.75" customHeight="1" x14ac:dyDescent="0.25">
      <c r="A127" s="33" t="s">
        <v>48</v>
      </c>
      <c r="B127" s="51" t="s">
        <v>358</v>
      </c>
      <c r="C127" s="35" t="s">
        <v>359</v>
      </c>
      <c r="D127" s="93" t="s">
        <v>349</v>
      </c>
      <c r="E127" s="37" t="s">
        <v>54</v>
      </c>
      <c r="F127" s="38" t="s">
        <v>55</v>
      </c>
      <c r="G127" s="49"/>
      <c r="H127" s="40" t="s">
        <v>56</v>
      </c>
      <c r="I127" s="42"/>
      <c r="J127" s="39">
        <v>10</v>
      </c>
      <c r="K127" s="42">
        <v>140.10846774193547</v>
      </c>
      <c r="L127" s="42">
        <v>1401.0846774193546</v>
      </c>
      <c r="M127" s="50"/>
      <c r="N127" s="39"/>
      <c r="O127" s="39"/>
      <c r="P127" s="42">
        <v>0</v>
      </c>
      <c r="Q127" s="52"/>
      <c r="S127" s="39"/>
      <c r="T127" s="39"/>
      <c r="U127" s="39"/>
      <c r="V127" s="39"/>
      <c r="W127" s="39"/>
      <c r="X127" s="39"/>
      <c r="Y127" s="39"/>
      <c r="Z127" s="39"/>
      <c r="AA127" s="39"/>
      <c r="AB127" s="39"/>
      <c r="AC127" s="39"/>
      <c r="AD127" s="39"/>
      <c r="AE127" s="39"/>
      <c r="AF127" s="39"/>
      <c r="AG127" s="39"/>
      <c r="AH127" s="39"/>
      <c r="AI127" s="39"/>
      <c r="AJ127" s="39"/>
      <c r="AK127" s="39"/>
      <c r="AL127" s="39"/>
      <c r="AM127" s="39"/>
      <c r="AN127" s="39"/>
      <c r="AO127" s="39"/>
      <c r="AP127" s="39"/>
      <c r="AQ127" s="39"/>
      <c r="AR127" s="39"/>
      <c r="AS127" s="39"/>
      <c r="AT127" s="39"/>
      <c r="AU127" s="39"/>
      <c r="AV127" s="39"/>
      <c r="AW127" s="39"/>
    </row>
    <row r="128" spans="1:49" s="48" customFormat="1" ht="12.75" customHeight="1" x14ac:dyDescent="0.25">
      <c r="A128" s="33" t="s">
        <v>48</v>
      </c>
      <c r="B128" s="51" t="s">
        <v>360</v>
      </c>
      <c r="C128" s="35" t="s">
        <v>361</v>
      </c>
      <c r="D128" s="93" t="s">
        <v>352</v>
      </c>
      <c r="E128" s="37" t="s">
        <v>54</v>
      </c>
      <c r="F128" s="38" t="s">
        <v>55</v>
      </c>
      <c r="G128" s="49"/>
      <c r="H128" s="40" t="s">
        <v>56</v>
      </c>
      <c r="I128" s="42"/>
      <c r="J128" s="39">
        <v>21</v>
      </c>
      <c r="K128" s="42">
        <v>140.10846774193547</v>
      </c>
      <c r="L128" s="42">
        <v>2942.2778225806451</v>
      </c>
      <c r="M128" s="50"/>
      <c r="N128" s="39"/>
      <c r="O128" s="39"/>
      <c r="P128" s="42">
        <v>0</v>
      </c>
      <c r="Q128" s="52"/>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row>
    <row r="129" spans="1:49" s="48" customFormat="1" ht="12.75" customHeight="1" x14ac:dyDescent="0.25">
      <c r="A129" s="33" t="s">
        <v>48</v>
      </c>
      <c r="B129" s="51" t="s">
        <v>362</v>
      </c>
      <c r="C129" s="35" t="s">
        <v>363</v>
      </c>
      <c r="D129" s="93" t="s">
        <v>355</v>
      </c>
      <c r="E129" s="37" t="s">
        <v>54</v>
      </c>
      <c r="F129" s="38" t="s">
        <v>55</v>
      </c>
      <c r="G129" s="49"/>
      <c r="H129" s="40" t="s">
        <v>56</v>
      </c>
      <c r="I129" s="42"/>
      <c r="J129" s="39">
        <v>30</v>
      </c>
      <c r="K129" s="42">
        <v>140.10846774193547</v>
      </c>
      <c r="L129" s="42">
        <v>4203.2540322580644</v>
      </c>
      <c r="M129" s="50"/>
      <c r="N129" s="39"/>
      <c r="O129" s="39"/>
      <c r="P129" s="42">
        <v>0</v>
      </c>
      <c r="Q129" s="52"/>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row>
    <row r="130" spans="1:49" s="64" customFormat="1" ht="12.75" customHeight="1" x14ac:dyDescent="0.25">
      <c r="A130" s="14" t="s">
        <v>48</v>
      </c>
      <c r="B130" s="15">
        <v>28243985</v>
      </c>
      <c r="C130" s="56" t="s">
        <v>364</v>
      </c>
      <c r="D130" s="95" t="s">
        <v>365</v>
      </c>
      <c r="E130" s="18" t="s">
        <v>958</v>
      </c>
      <c r="F130" s="58"/>
      <c r="G130" s="87"/>
      <c r="H130" s="87"/>
      <c r="I130" s="42"/>
      <c r="J130" s="20">
        <f>SUM(J131:J133)</f>
        <v>57</v>
      </c>
      <c r="K130" s="20">
        <v>140.10846774193499</v>
      </c>
      <c r="L130" s="22">
        <f>SUM(L131:L133)</f>
        <v>7986.1826612903214</v>
      </c>
      <c r="M130" s="88"/>
      <c r="N130" s="65"/>
      <c r="O130" s="65"/>
      <c r="P130" s="62"/>
      <c r="R130" s="48"/>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c r="AR130" s="65"/>
      <c r="AS130" s="65"/>
      <c r="AT130" s="65"/>
      <c r="AU130" s="65"/>
      <c r="AV130" s="65"/>
      <c r="AW130" s="65"/>
    </row>
    <row r="131" spans="1:49" s="48" customFormat="1" ht="12.75" customHeight="1" x14ac:dyDescent="0.25">
      <c r="A131" s="33" t="s">
        <v>48</v>
      </c>
      <c r="B131" s="51" t="s">
        <v>366</v>
      </c>
      <c r="C131" s="35" t="s">
        <v>367</v>
      </c>
      <c r="D131" s="93" t="s">
        <v>368</v>
      </c>
      <c r="E131" s="37" t="s">
        <v>54</v>
      </c>
      <c r="F131" s="38" t="s">
        <v>55</v>
      </c>
      <c r="G131" s="84"/>
      <c r="H131" s="40" t="s">
        <v>56</v>
      </c>
      <c r="I131" s="42"/>
      <c r="J131" s="39">
        <v>42</v>
      </c>
      <c r="K131" s="42">
        <v>140.10846774193547</v>
      </c>
      <c r="L131" s="42">
        <v>5884.5556451612902</v>
      </c>
      <c r="M131" s="50"/>
      <c r="N131" s="39"/>
      <c r="O131" s="39"/>
      <c r="P131" s="42">
        <v>0</v>
      </c>
      <c r="Q131" s="52"/>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row>
    <row r="132" spans="1:49" s="48" customFormat="1" ht="15" x14ac:dyDescent="0.25">
      <c r="A132" s="33" t="s">
        <v>48</v>
      </c>
      <c r="B132" s="51" t="s">
        <v>369</v>
      </c>
      <c r="C132" s="35" t="s">
        <v>370</v>
      </c>
      <c r="D132" s="93" t="s">
        <v>371</v>
      </c>
      <c r="E132" s="37" t="s">
        <v>54</v>
      </c>
      <c r="F132" s="38" t="s">
        <v>55</v>
      </c>
      <c r="G132" s="84"/>
      <c r="H132" s="40" t="s">
        <v>56</v>
      </c>
      <c r="I132" s="42"/>
      <c r="J132" s="39">
        <v>10</v>
      </c>
      <c r="K132" s="42">
        <v>140.10846774193547</v>
      </c>
      <c r="L132" s="42">
        <v>1401.0846774193546</v>
      </c>
      <c r="M132" s="50"/>
      <c r="N132" s="39"/>
      <c r="O132" s="39"/>
      <c r="P132" s="42">
        <v>0</v>
      </c>
      <c r="Q132" s="52"/>
      <c r="S132" s="39"/>
      <c r="T132" s="39"/>
      <c r="U132" s="39"/>
      <c r="V132" s="39"/>
      <c r="W132" s="39"/>
      <c r="X132" s="39"/>
      <c r="Y132" s="39"/>
      <c r="Z132" s="39"/>
      <c r="AA132" s="39"/>
      <c r="AB132" s="39"/>
      <c r="AC132" s="39"/>
      <c r="AD132" s="39"/>
      <c r="AE132" s="39"/>
      <c r="AF132" s="39"/>
      <c r="AG132" s="39"/>
      <c r="AH132" s="39"/>
      <c r="AI132" s="39"/>
      <c r="AJ132" s="39"/>
      <c r="AK132" s="39"/>
      <c r="AL132" s="39"/>
      <c r="AM132" s="39"/>
      <c r="AN132" s="39"/>
      <c r="AO132" s="39"/>
      <c r="AP132" s="39"/>
      <c r="AQ132" s="39"/>
      <c r="AR132" s="39"/>
      <c r="AS132" s="39"/>
      <c r="AT132" s="39"/>
      <c r="AU132" s="39"/>
      <c r="AV132" s="39"/>
      <c r="AW132" s="39"/>
    </row>
    <row r="133" spans="1:49" s="48" customFormat="1" ht="33.75" x14ac:dyDescent="0.25">
      <c r="A133" s="33" t="s">
        <v>48</v>
      </c>
      <c r="B133" s="51" t="s">
        <v>372</v>
      </c>
      <c r="C133" s="35" t="s">
        <v>373</v>
      </c>
      <c r="D133" s="93" t="s">
        <v>374</v>
      </c>
      <c r="E133" s="37" t="s">
        <v>54</v>
      </c>
      <c r="F133" s="38" t="s">
        <v>55</v>
      </c>
      <c r="G133" s="84"/>
      <c r="H133" s="96" t="s">
        <v>375</v>
      </c>
      <c r="I133" s="42"/>
      <c r="J133" s="39">
        <v>5</v>
      </c>
      <c r="K133" s="42">
        <v>140.10846774193547</v>
      </c>
      <c r="L133" s="42">
        <v>700.54233870967732</v>
      </c>
      <c r="M133" s="50"/>
      <c r="N133" s="39"/>
      <c r="O133" s="39"/>
      <c r="P133" s="42">
        <v>0</v>
      </c>
      <c r="Q133" s="52"/>
      <c r="S133" s="39"/>
      <c r="T133" s="39"/>
      <c r="U133" s="39"/>
      <c r="V133" s="39"/>
      <c r="W133" s="39"/>
      <c r="X133" s="39"/>
      <c r="Y133" s="39"/>
      <c r="Z133" s="39"/>
      <c r="AA133" s="39"/>
      <c r="AB133" s="39"/>
      <c r="AC133" s="39"/>
      <c r="AD133" s="39"/>
      <c r="AE133" s="39"/>
      <c r="AF133" s="39"/>
      <c r="AG133" s="39"/>
      <c r="AH133" s="39"/>
      <c r="AI133" s="39"/>
      <c r="AJ133" s="39"/>
      <c r="AK133" s="39"/>
      <c r="AL133" s="39"/>
      <c r="AM133" s="39"/>
      <c r="AN133" s="39"/>
      <c r="AO133" s="39"/>
      <c r="AP133" s="39"/>
      <c r="AQ133" s="39"/>
      <c r="AR133" s="39"/>
      <c r="AS133" s="39"/>
      <c r="AT133" s="39"/>
      <c r="AU133" s="39"/>
      <c r="AV133" s="39"/>
      <c r="AW133" s="39"/>
    </row>
    <row r="134" spans="1:49" s="64" customFormat="1" ht="24" customHeight="1" x14ac:dyDescent="0.25">
      <c r="A134" s="14" t="s">
        <v>48</v>
      </c>
      <c r="B134" s="15">
        <v>28243985</v>
      </c>
      <c r="C134" s="56" t="s">
        <v>376</v>
      </c>
      <c r="D134" s="80" t="s">
        <v>377</v>
      </c>
      <c r="E134" s="18" t="s">
        <v>958</v>
      </c>
      <c r="F134" s="58"/>
      <c r="G134" s="87"/>
      <c r="H134" s="87"/>
      <c r="I134" s="42"/>
      <c r="J134" s="20">
        <f>SUM(J135:J148)</f>
        <v>210</v>
      </c>
      <c r="K134" s="20">
        <v>140.10846774193499</v>
      </c>
      <c r="L134" s="22">
        <f>SUM(L135:L148)</f>
        <v>29422.778225806444</v>
      </c>
      <c r="M134" s="88"/>
      <c r="N134" s="65"/>
      <c r="O134" s="65"/>
      <c r="P134" s="62"/>
      <c r="R134" s="48"/>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row>
    <row r="135" spans="1:49" s="48" customFormat="1" ht="15" x14ac:dyDescent="0.25">
      <c r="A135" s="33" t="s">
        <v>48</v>
      </c>
      <c r="B135" s="51" t="s">
        <v>378</v>
      </c>
      <c r="C135" s="35" t="s">
        <v>379</v>
      </c>
      <c r="D135" s="93" t="s">
        <v>380</v>
      </c>
      <c r="E135" s="37" t="s">
        <v>54</v>
      </c>
      <c r="F135" s="38" t="s">
        <v>55</v>
      </c>
      <c r="G135" s="84"/>
      <c r="H135" s="40" t="s">
        <v>56</v>
      </c>
      <c r="I135" s="42"/>
      <c r="J135" s="41">
        <v>10</v>
      </c>
      <c r="K135" s="42">
        <v>140.10846774193547</v>
      </c>
      <c r="L135" s="42">
        <v>1401.0846774193546</v>
      </c>
      <c r="M135" s="50"/>
      <c r="N135" s="39"/>
      <c r="O135" s="39"/>
      <c r="P135" s="42">
        <v>0</v>
      </c>
      <c r="Q135" s="52"/>
      <c r="S135" s="39"/>
      <c r="T135" s="39"/>
      <c r="U135" s="39"/>
      <c r="V135" s="39"/>
      <c r="W135" s="39"/>
      <c r="X135" s="39"/>
      <c r="Y135" s="39"/>
      <c r="Z135" s="39"/>
      <c r="AA135" s="39"/>
      <c r="AB135" s="39"/>
      <c r="AC135" s="39"/>
      <c r="AD135" s="39"/>
      <c r="AE135" s="39"/>
      <c r="AF135" s="39"/>
      <c r="AG135" s="39"/>
      <c r="AH135" s="39"/>
      <c r="AI135" s="39"/>
      <c r="AJ135" s="39"/>
      <c r="AK135" s="39"/>
      <c r="AL135" s="39"/>
      <c r="AM135" s="39"/>
      <c r="AN135" s="39"/>
      <c r="AO135" s="39"/>
      <c r="AP135" s="39"/>
      <c r="AQ135" s="39"/>
      <c r="AR135" s="39"/>
      <c r="AS135" s="39"/>
      <c r="AT135" s="39"/>
      <c r="AU135" s="39"/>
      <c r="AV135" s="39"/>
      <c r="AW135" s="39"/>
    </row>
    <row r="136" spans="1:49" s="48" customFormat="1" ht="15" x14ac:dyDescent="0.25">
      <c r="A136" s="33" t="s">
        <v>48</v>
      </c>
      <c r="B136" s="51" t="s">
        <v>381</v>
      </c>
      <c r="C136" s="35" t="s">
        <v>382</v>
      </c>
      <c r="D136" s="93" t="s">
        <v>383</v>
      </c>
      <c r="E136" s="37" t="s">
        <v>54</v>
      </c>
      <c r="F136" s="38" t="s">
        <v>55</v>
      </c>
      <c r="G136" s="84"/>
      <c r="H136" s="40" t="s">
        <v>56</v>
      </c>
      <c r="I136" s="42"/>
      <c r="J136" s="41">
        <v>20</v>
      </c>
      <c r="K136" s="42">
        <v>140.10846774193547</v>
      </c>
      <c r="L136" s="42">
        <v>2802.1693548387093</v>
      </c>
      <c r="M136" s="50"/>
      <c r="N136" s="39"/>
      <c r="O136" s="39"/>
      <c r="P136" s="42">
        <v>0</v>
      </c>
      <c r="Q136" s="52"/>
      <c r="S136" s="39"/>
      <c r="T136" s="39"/>
      <c r="U136" s="39"/>
      <c r="V136" s="39"/>
      <c r="W136" s="39"/>
      <c r="X136" s="39"/>
      <c r="Y136" s="39"/>
      <c r="Z136" s="39"/>
      <c r="AA136" s="39"/>
      <c r="AB136" s="39"/>
      <c r="AC136" s="39"/>
      <c r="AD136" s="39"/>
      <c r="AE136" s="39"/>
      <c r="AF136" s="39"/>
      <c r="AG136" s="39"/>
      <c r="AH136" s="39"/>
      <c r="AI136" s="39"/>
      <c r="AJ136" s="39"/>
      <c r="AK136" s="39"/>
      <c r="AL136" s="39"/>
      <c r="AM136" s="39"/>
      <c r="AN136" s="39"/>
      <c r="AO136" s="39"/>
      <c r="AP136" s="39"/>
      <c r="AQ136" s="39"/>
      <c r="AR136" s="39"/>
      <c r="AS136" s="39"/>
      <c r="AT136" s="39"/>
      <c r="AU136" s="39"/>
      <c r="AV136" s="39"/>
      <c r="AW136" s="39"/>
    </row>
    <row r="137" spans="1:49" s="48" customFormat="1" ht="15" x14ac:dyDescent="0.25">
      <c r="A137" s="33" t="s">
        <v>48</v>
      </c>
      <c r="B137" s="51" t="s">
        <v>384</v>
      </c>
      <c r="C137" s="35" t="s">
        <v>385</v>
      </c>
      <c r="D137" s="93" t="s">
        <v>386</v>
      </c>
      <c r="E137" s="37" t="s">
        <v>54</v>
      </c>
      <c r="F137" s="38" t="s">
        <v>55</v>
      </c>
      <c r="G137" s="84"/>
      <c r="H137" s="40" t="s">
        <v>56</v>
      </c>
      <c r="I137" s="42"/>
      <c r="J137" s="41">
        <v>20</v>
      </c>
      <c r="K137" s="42">
        <v>140.10846774193547</v>
      </c>
      <c r="L137" s="42">
        <v>2802.1693548387093</v>
      </c>
      <c r="M137" s="50"/>
      <c r="N137" s="39"/>
      <c r="O137" s="39"/>
      <c r="P137" s="42">
        <v>0</v>
      </c>
      <c r="Q137" s="52"/>
      <c r="S137" s="39"/>
      <c r="T137" s="39"/>
      <c r="U137" s="39"/>
      <c r="V137" s="39"/>
      <c r="W137" s="39"/>
      <c r="X137" s="39"/>
      <c r="Y137" s="39"/>
      <c r="Z137" s="39"/>
      <c r="AA137" s="39"/>
      <c r="AB137" s="39"/>
      <c r="AC137" s="39"/>
      <c r="AD137" s="39"/>
      <c r="AE137" s="39"/>
      <c r="AF137" s="39"/>
      <c r="AG137" s="39"/>
      <c r="AH137" s="39"/>
      <c r="AI137" s="39"/>
      <c r="AJ137" s="39"/>
      <c r="AK137" s="39"/>
      <c r="AL137" s="39"/>
      <c r="AM137" s="39"/>
      <c r="AN137" s="39"/>
      <c r="AO137" s="39"/>
      <c r="AP137" s="39"/>
      <c r="AQ137" s="39"/>
      <c r="AR137" s="39"/>
      <c r="AS137" s="39"/>
      <c r="AT137" s="39"/>
      <c r="AU137" s="39"/>
      <c r="AV137" s="39"/>
      <c r="AW137" s="39"/>
    </row>
    <row r="138" spans="1:49" s="48" customFormat="1" ht="15" x14ac:dyDescent="0.25">
      <c r="A138" s="33" t="s">
        <v>48</v>
      </c>
      <c r="B138" s="51" t="s">
        <v>387</v>
      </c>
      <c r="C138" s="35" t="s">
        <v>388</v>
      </c>
      <c r="D138" s="93" t="s">
        <v>389</v>
      </c>
      <c r="E138" s="37" t="s">
        <v>54</v>
      </c>
      <c r="F138" s="38" t="s">
        <v>55</v>
      </c>
      <c r="G138" s="84"/>
      <c r="H138" s="40" t="s">
        <v>56</v>
      </c>
      <c r="I138" s="42"/>
      <c r="J138" s="41">
        <v>20</v>
      </c>
      <c r="K138" s="42">
        <v>140.10846774193547</v>
      </c>
      <c r="L138" s="42">
        <v>2802.1693548387093</v>
      </c>
      <c r="M138" s="50"/>
      <c r="N138" s="39"/>
      <c r="O138" s="39"/>
      <c r="P138" s="42">
        <v>0</v>
      </c>
      <c r="Q138" s="52"/>
      <c r="S138" s="39"/>
      <c r="T138" s="39"/>
      <c r="U138" s="39"/>
      <c r="V138" s="39"/>
      <c r="W138" s="39"/>
      <c r="X138" s="39"/>
      <c r="Y138" s="39"/>
      <c r="Z138" s="39"/>
      <c r="AA138" s="39"/>
      <c r="AB138" s="39"/>
      <c r="AC138" s="39"/>
      <c r="AD138" s="39"/>
      <c r="AE138" s="39"/>
      <c r="AF138" s="39"/>
      <c r="AG138" s="39"/>
      <c r="AH138" s="39"/>
      <c r="AI138" s="39"/>
      <c r="AJ138" s="39"/>
      <c r="AK138" s="39"/>
      <c r="AL138" s="39"/>
      <c r="AM138" s="39"/>
      <c r="AN138" s="39"/>
      <c r="AO138" s="39"/>
      <c r="AP138" s="39"/>
      <c r="AQ138" s="39"/>
      <c r="AR138" s="39"/>
      <c r="AS138" s="39"/>
      <c r="AT138" s="39"/>
      <c r="AU138" s="39"/>
      <c r="AV138" s="39"/>
      <c r="AW138" s="39"/>
    </row>
    <row r="139" spans="1:49" s="48" customFormat="1" ht="15" x14ac:dyDescent="0.25">
      <c r="A139" s="33" t="s">
        <v>48</v>
      </c>
      <c r="B139" s="51" t="s">
        <v>390</v>
      </c>
      <c r="C139" s="35" t="s">
        <v>391</v>
      </c>
      <c r="D139" s="93" t="s">
        <v>392</v>
      </c>
      <c r="E139" s="37" t="s">
        <v>54</v>
      </c>
      <c r="F139" s="38" t="s">
        <v>55</v>
      </c>
      <c r="G139" s="84"/>
      <c r="H139" s="40" t="s">
        <v>56</v>
      </c>
      <c r="I139" s="42"/>
      <c r="J139" s="41">
        <v>20</v>
      </c>
      <c r="K139" s="42">
        <v>140.10846774193547</v>
      </c>
      <c r="L139" s="42">
        <v>2802.1693548387093</v>
      </c>
      <c r="M139" s="50"/>
      <c r="N139" s="39"/>
      <c r="O139" s="39"/>
      <c r="P139" s="42">
        <v>0</v>
      </c>
      <c r="Q139" s="52"/>
      <c r="S139" s="39"/>
      <c r="T139" s="39"/>
      <c r="U139" s="39"/>
      <c r="V139" s="39"/>
      <c r="W139" s="39"/>
      <c r="X139" s="39"/>
      <c r="Y139" s="39"/>
      <c r="Z139" s="39"/>
      <c r="AA139" s="39"/>
      <c r="AB139" s="39"/>
      <c r="AC139" s="39"/>
      <c r="AD139" s="39"/>
      <c r="AE139" s="39"/>
      <c r="AF139" s="39"/>
      <c r="AG139" s="39"/>
      <c r="AH139" s="39"/>
      <c r="AI139" s="39"/>
      <c r="AJ139" s="39"/>
      <c r="AK139" s="39"/>
      <c r="AL139" s="39"/>
      <c r="AM139" s="39"/>
      <c r="AN139" s="39"/>
      <c r="AO139" s="39"/>
      <c r="AP139" s="39"/>
      <c r="AQ139" s="39"/>
      <c r="AR139" s="39"/>
      <c r="AS139" s="39"/>
      <c r="AT139" s="39"/>
      <c r="AU139" s="39"/>
      <c r="AV139" s="39"/>
      <c r="AW139" s="39"/>
    </row>
    <row r="140" spans="1:49" s="48" customFormat="1" ht="15" x14ac:dyDescent="0.25">
      <c r="A140" s="33" t="s">
        <v>48</v>
      </c>
      <c r="B140" s="51" t="s">
        <v>393</v>
      </c>
      <c r="C140" s="35" t="s">
        <v>394</v>
      </c>
      <c r="D140" s="93" t="s">
        <v>395</v>
      </c>
      <c r="E140" s="37" t="s">
        <v>54</v>
      </c>
      <c r="F140" s="38" t="s">
        <v>55</v>
      </c>
      <c r="G140" s="84"/>
      <c r="H140" s="40" t="s">
        <v>56</v>
      </c>
      <c r="I140" s="42"/>
      <c r="J140" s="41">
        <v>20</v>
      </c>
      <c r="K140" s="42">
        <v>140.10846774193547</v>
      </c>
      <c r="L140" s="42">
        <v>2802.1693548387093</v>
      </c>
      <c r="M140" s="50"/>
      <c r="N140" s="39"/>
      <c r="O140" s="39"/>
      <c r="P140" s="42">
        <v>0</v>
      </c>
      <c r="Q140" s="52"/>
      <c r="S140" s="39"/>
      <c r="T140" s="39"/>
      <c r="U140" s="39"/>
      <c r="V140" s="39"/>
      <c r="W140" s="39"/>
      <c r="X140" s="39"/>
      <c r="Y140" s="39"/>
      <c r="Z140" s="39"/>
      <c r="AA140" s="39"/>
      <c r="AB140" s="39"/>
      <c r="AC140" s="39"/>
      <c r="AD140" s="39"/>
      <c r="AE140" s="39"/>
      <c r="AF140" s="39"/>
      <c r="AG140" s="39"/>
      <c r="AH140" s="39"/>
      <c r="AI140" s="39"/>
      <c r="AJ140" s="39"/>
      <c r="AK140" s="39"/>
      <c r="AL140" s="39"/>
      <c r="AM140" s="39"/>
      <c r="AN140" s="39"/>
      <c r="AO140" s="39"/>
      <c r="AP140" s="39"/>
      <c r="AQ140" s="39"/>
      <c r="AR140" s="39"/>
      <c r="AS140" s="39"/>
      <c r="AT140" s="39"/>
      <c r="AU140" s="39"/>
      <c r="AV140" s="39"/>
      <c r="AW140" s="39"/>
    </row>
    <row r="141" spans="1:49" s="48" customFormat="1" ht="22.5" x14ac:dyDescent="0.25">
      <c r="A141" s="33" t="s">
        <v>48</v>
      </c>
      <c r="B141" s="51" t="s">
        <v>396</v>
      </c>
      <c r="C141" s="35" t="s">
        <v>397</v>
      </c>
      <c r="D141" s="93" t="s">
        <v>398</v>
      </c>
      <c r="E141" s="37" t="s">
        <v>54</v>
      </c>
      <c r="F141" s="38" t="s">
        <v>399</v>
      </c>
      <c r="G141" s="84"/>
      <c r="H141" s="96" t="s">
        <v>400</v>
      </c>
      <c r="I141" s="42"/>
      <c r="J141" s="41"/>
      <c r="K141" s="42"/>
      <c r="L141" s="42">
        <v>0</v>
      </c>
      <c r="M141" s="50"/>
      <c r="N141" s="39"/>
      <c r="O141" s="39"/>
      <c r="P141" s="42">
        <v>0</v>
      </c>
      <c r="Q141" s="52"/>
      <c r="S141" s="39"/>
      <c r="T141" s="39"/>
      <c r="U141" s="39"/>
      <c r="V141" s="39"/>
      <c r="W141" s="39"/>
      <c r="X141" s="39"/>
      <c r="Y141" s="39"/>
      <c r="Z141" s="39"/>
      <c r="AA141" s="39"/>
      <c r="AB141" s="39"/>
      <c r="AC141" s="39"/>
      <c r="AD141" s="39"/>
      <c r="AE141" s="39"/>
      <c r="AF141" s="39"/>
      <c r="AG141" s="39"/>
      <c r="AH141" s="39"/>
      <c r="AI141" s="39"/>
      <c r="AJ141" s="39"/>
      <c r="AK141" s="39"/>
      <c r="AL141" s="39"/>
      <c r="AM141" s="39"/>
      <c r="AN141" s="39"/>
      <c r="AO141" s="39"/>
      <c r="AP141" s="39"/>
      <c r="AQ141" s="39"/>
      <c r="AR141" s="39"/>
      <c r="AS141" s="39"/>
      <c r="AT141" s="39"/>
      <c r="AU141" s="39"/>
      <c r="AV141" s="39"/>
      <c r="AW141" s="39"/>
    </row>
    <row r="142" spans="1:49" s="48" customFormat="1" ht="22.5" x14ac:dyDescent="0.25">
      <c r="A142" s="33" t="s">
        <v>48</v>
      </c>
      <c r="B142" s="51" t="s">
        <v>401</v>
      </c>
      <c r="C142" s="35" t="s">
        <v>402</v>
      </c>
      <c r="D142" s="93" t="s">
        <v>403</v>
      </c>
      <c r="E142" s="37" t="s">
        <v>54</v>
      </c>
      <c r="F142" s="38" t="s">
        <v>399</v>
      </c>
      <c r="G142" s="84"/>
      <c r="H142" s="96" t="s">
        <v>400</v>
      </c>
      <c r="I142" s="42"/>
      <c r="J142" s="41"/>
      <c r="K142" s="42"/>
      <c r="L142" s="42">
        <v>0</v>
      </c>
      <c r="M142" s="50"/>
      <c r="N142" s="39"/>
      <c r="O142" s="39"/>
      <c r="P142" s="42">
        <v>0</v>
      </c>
      <c r="Q142" s="52"/>
      <c r="S142" s="39"/>
      <c r="T142" s="39"/>
      <c r="U142" s="39"/>
      <c r="V142" s="39"/>
      <c r="W142" s="39"/>
      <c r="X142" s="39"/>
      <c r="Y142" s="39"/>
      <c r="Z142" s="39"/>
      <c r="AA142" s="39"/>
      <c r="AB142" s="39"/>
      <c r="AC142" s="39"/>
      <c r="AD142" s="39"/>
      <c r="AE142" s="39"/>
      <c r="AF142" s="39"/>
      <c r="AG142" s="39"/>
      <c r="AH142" s="39"/>
      <c r="AI142" s="39"/>
      <c r="AJ142" s="39"/>
      <c r="AK142" s="39"/>
      <c r="AL142" s="39"/>
      <c r="AM142" s="39"/>
      <c r="AN142" s="39"/>
      <c r="AO142" s="39"/>
      <c r="AP142" s="39"/>
      <c r="AQ142" s="39"/>
      <c r="AR142" s="39"/>
      <c r="AS142" s="39"/>
      <c r="AT142" s="39"/>
      <c r="AU142" s="39"/>
      <c r="AV142" s="39"/>
      <c r="AW142" s="39"/>
    </row>
    <row r="143" spans="1:49" s="48" customFormat="1" ht="15" x14ac:dyDescent="0.25">
      <c r="A143" s="33" t="s">
        <v>48</v>
      </c>
      <c r="B143" s="51" t="s">
        <v>404</v>
      </c>
      <c r="C143" s="35" t="s">
        <v>405</v>
      </c>
      <c r="D143" s="93" t="s">
        <v>406</v>
      </c>
      <c r="E143" s="37" t="s">
        <v>54</v>
      </c>
      <c r="F143" s="38" t="s">
        <v>55</v>
      </c>
      <c r="G143" s="84"/>
      <c r="H143" s="40" t="s">
        <v>56</v>
      </c>
      <c r="I143" s="42"/>
      <c r="J143" s="41">
        <v>20</v>
      </c>
      <c r="K143" s="42">
        <v>140.10846774193547</v>
      </c>
      <c r="L143" s="42">
        <v>2802.1693548387093</v>
      </c>
      <c r="M143" s="50"/>
      <c r="N143" s="39"/>
      <c r="O143" s="39"/>
      <c r="P143" s="42">
        <v>0</v>
      </c>
      <c r="Q143" s="52"/>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row>
    <row r="144" spans="1:49" s="48" customFormat="1" ht="15" x14ac:dyDescent="0.25">
      <c r="A144" s="33" t="s">
        <v>48</v>
      </c>
      <c r="B144" s="51" t="s">
        <v>407</v>
      </c>
      <c r="C144" s="35" t="s">
        <v>408</v>
      </c>
      <c r="D144" s="93" t="s">
        <v>409</v>
      </c>
      <c r="E144" s="37" t="s">
        <v>54</v>
      </c>
      <c r="F144" s="38" t="s">
        <v>55</v>
      </c>
      <c r="G144" s="84"/>
      <c r="H144" s="40" t="s">
        <v>56</v>
      </c>
      <c r="I144" s="42"/>
      <c r="J144" s="41">
        <v>20</v>
      </c>
      <c r="K144" s="42">
        <v>140.10846774193547</v>
      </c>
      <c r="L144" s="42">
        <v>2802.1693548387093</v>
      </c>
      <c r="M144" s="50"/>
      <c r="N144" s="39"/>
      <c r="O144" s="39"/>
      <c r="P144" s="42">
        <v>0</v>
      </c>
      <c r="Q144" s="52"/>
      <c r="S144" s="39"/>
      <c r="T144" s="39"/>
      <c r="U144" s="39"/>
      <c r="V144" s="39"/>
      <c r="W144" s="39"/>
      <c r="X144" s="39"/>
      <c r="Y144" s="39"/>
      <c r="Z144" s="39"/>
      <c r="AA144" s="39"/>
      <c r="AB144" s="39"/>
      <c r="AC144" s="39"/>
      <c r="AD144" s="39"/>
      <c r="AE144" s="39"/>
      <c r="AF144" s="39"/>
      <c r="AG144" s="39"/>
      <c r="AH144" s="39"/>
      <c r="AI144" s="39"/>
      <c r="AJ144" s="39"/>
      <c r="AK144" s="39"/>
      <c r="AL144" s="39"/>
      <c r="AM144" s="39"/>
      <c r="AN144" s="39"/>
      <c r="AO144" s="39"/>
      <c r="AP144" s="39"/>
      <c r="AQ144" s="39"/>
      <c r="AR144" s="39"/>
      <c r="AS144" s="39"/>
      <c r="AT144" s="39"/>
      <c r="AU144" s="39"/>
      <c r="AV144" s="39"/>
      <c r="AW144" s="39"/>
    </row>
    <row r="145" spans="1:49" s="48" customFormat="1" ht="15" x14ac:dyDescent="0.25">
      <c r="A145" s="33" t="s">
        <v>48</v>
      </c>
      <c r="B145" s="51" t="s">
        <v>410</v>
      </c>
      <c r="C145" s="35" t="s">
        <v>411</v>
      </c>
      <c r="D145" s="93" t="s">
        <v>412</v>
      </c>
      <c r="E145" s="37" t="s">
        <v>54</v>
      </c>
      <c r="F145" s="38" t="s">
        <v>55</v>
      </c>
      <c r="G145" s="84"/>
      <c r="H145" s="40" t="s">
        <v>56</v>
      </c>
      <c r="I145" s="42"/>
      <c r="J145" s="41">
        <v>20</v>
      </c>
      <c r="K145" s="42">
        <v>140.10846774193547</v>
      </c>
      <c r="L145" s="42">
        <v>2802.1693548387093</v>
      </c>
      <c r="M145" s="50"/>
      <c r="N145" s="39"/>
      <c r="O145" s="39"/>
      <c r="P145" s="42">
        <v>0</v>
      </c>
      <c r="Q145" s="52"/>
      <c r="S145" s="39"/>
      <c r="T145" s="39"/>
      <c r="U145" s="39"/>
      <c r="V145" s="39"/>
      <c r="W145" s="39"/>
      <c r="X145" s="39"/>
      <c r="Y145" s="39"/>
      <c r="Z145" s="39"/>
      <c r="AA145" s="39"/>
      <c r="AB145" s="39"/>
      <c r="AC145" s="39"/>
      <c r="AD145" s="39"/>
      <c r="AE145" s="39"/>
      <c r="AF145" s="39"/>
      <c r="AG145" s="39"/>
      <c r="AH145" s="39"/>
      <c r="AI145" s="39"/>
      <c r="AJ145" s="39"/>
      <c r="AK145" s="39"/>
      <c r="AL145" s="39"/>
      <c r="AM145" s="39"/>
      <c r="AN145" s="39"/>
      <c r="AO145" s="39"/>
      <c r="AP145" s="39"/>
      <c r="AQ145" s="39"/>
      <c r="AR145" s="39"/>
      <c r="AS145" s="39"/>
      <c r="AT145" s="39"/>
      <c r="AU145" s="39"/>
      <c r="AV145" s="39"/>
      <c r="AW145" s="39"/>
    </row>
    <row r="146" spans="1:49" s="48" customFormat="1" ht="15" x14ac:dyDescent="0.25">
      <c r="A146" s="33" t="s">
        <v>48</v>
      </c>
      <c r="B146" s="51" t="s">
        <v>413</v>
      </c>
      <c r="C146" s="35" t="s">
        <v>414</v>
      </c>
      <c r="D146" s="93" t="s">
        <v>415</v>
      </c>
      <c r="E146" s="37" t="s">
        <v>54</v>
      </c>
      <c r="F146" s="38" t="s">
        <v>399</v>
      </c>
      <c r="G146" s="84"/>
      <c r="H146" s="96" t="s">
        <v>416</v>
      </c>
      <c r="I146" s="42"/>
      <c r="J146" s="41"/>
      <c r="K146" s="42"/>
      <c r="L146" s="42">
        <v>0</v>
      </c>
      <c r="M146" s="50"/>
      <c r="N146" s="39"/>
      <c r="O146" s="39"/>
      <c r="P146" s="42">
        <v>0</v>
      </c>
      <c r="Q146" s="52"/>
      <c r="S146" s="39"/>
      <c r="T146" s="39"/>
      <c r="U146" s="39"/>
      <c r="V146" s="39"/>
      <c r="W146" s="39"/>
      <c r="X146" s="39"/>
      <c r="Y146" s="39"/>
      <c r="Z146" s="39"/>
      <c r="AA146" s="39"/>
      <c r="AB146" s="39"/>
      <c r="AC146" s="39"/>
      <c r="AD146" s="39"/>
      <c r="AE146" s="39"/>
      <c r="AF146" s="39"/>
      <c r="AG146" s="39"/>
      <c r="AH146" s="39"/>
      <c r="AI146" s="39"/>
      <c r="AJ146" s="39"/>
      <c r="AK146" s="39"/>
      <c r="AL146" s="39"/>
      <c r="AM146" s="39"/>
      <c r="AN146" s="39"/>
      <c r="AO146" s="39"/>
      <c r="AP146" s="39"/>
      <c r="AQ146" s="39"/>
      <c r="AR146" s="39"/>
      <c r="AS146" s="39"/>
      <c r="AT146" s="39"/>
      <c r="AU146" s="39"/>
      <c r="AV146" s="39"/>
      <c r="AW146" s="39"/>
    </row>
    <row r="147" spans="1:49" s="48" customFormat="1" ht="15" x14ac:dyDescent="0.25">
      <c r="A147" s="33" t="s">
        <v>48</v>
      </c>
      <c r="B147" s="51" t="s">
        <v>417</v>
      </c>
      <c r="C147" s="35" t="s">
        <v>418</v>
      </c>
      <c r="D147" s="93" t="s">
        <v>419</v>
      </c>
      <c r="E147" s="37" t="s">
        <v>54</v>
      </c>
      <c r="F147" s="38" t="s">
        <v>55</v>
      </c>
      <c r="G147" s="84"/>
      <c r="H147" s="40" t="s">
        <v>56</v>
      </c>
      <c r="I147" s="42"/>
      <c r="J147" s="41">
        <v>20</v>
      </c>
      <c r="K147" s="42">
        <v>140.10846774193547</v>
      </c>
      <c r="L147" s="42">
        <v>2802.1693548387093</v>
      </c>
      <c r="M147" s="50"/>
      <c r="N147" s="39"/>
      <c r="O147" s="39"/>
      <c r="P147" s="42">
        <v>0</v>
      </c>
      <c r="Q147" s="52"/>
      <c r="S147" s="39"/>
      <c r="T147" s="39"/>
      <c r="U147" s="39"/>
      <c r="V147" s="39"/>
      <c r="W147" s="39"/>
      <c r="X147" s="39"/>
      <c r="Y147" s="39"/>
      <c r="Z147" s="39"/>
      <c r="AA147" s="39"/>
      <c r="AB147" s="39"/>
      <c r="AC147" s="39"/>
      <c r="AD147" s="39"/>
      <c r="AE147" s="39"/>
      <c r="AF147" s="39"/>
      <c r="AG147" s="39"/>
      <c r="AH147" s="39"/>
      <c r="AI147" s="39"/>
      <c r="AJ147" s="39"/>
      <c r="AK147" s="39"/>
      <c r="AL147" s="39"/>
      <c r="AM147" s="39"/>
      <c r="AN147" s="39"/>
      <c r="AO147" s="39"/>
      <c r="AP147" s="39"/>
      <c r="AQ147" s="39"/>
      <c r="AR147" s="39"/>
      <c r="AS147" s="39"/>
      <c r="AT147" s="39"/>
      <c r="AU147" s="39"/>
      <c r="AV147" s="39"/>
      <c r="AW147" s="39"/>
    </row>
    <row r="148" spans="1:49" s="48" customFormat="1" ht="15" x14ac:dyDescent="0.25">
      <c r="A148" s="33" t="s">
        <v>48</v>
      </c>
      <c r="B148" s="51" t="s">
        <v>420</v>
      </c>
      <c r="C148" s="35" t="s">
        <v>421</v>
      </c>
      <c r="D148" s="93" t="s">
        <v>422</v>
      </c>
      <c r="E148" s="37" t="s">
        <v>54</v>
      </c>
      <c r="F148" s="38" t="s">
        <v>55</v>
      </c>
      <c r="G148" s="84"/>
      <c r="H148" s="40" t="s">
        <v>56</v>
      </c>
      <c r="I148" s="42"/>
      <c r="J148" s="41">
        <v>20</v>
      </c>
      <c r="K148" s="42">
        <v>140.10846774193547</v>
      </c>
      <c r="L148" s="42">
        <v>2802.1693548387093</v>
      </c>
      <c r="M148" s="50"/>
      <c r="N148" s="39"/>
      <c r="O148" s="39"/>
      <c r="P148" s="42">
        <v>0</v>
      </c>
      <c r="Q148" s="52"/>
      <c r="S148" s="39"/>
      <c r="T148" s="39"/>
      <c r="U148" s="39"/>
      <c r="V148" s="39"/>
      <c r="W148" s="39"/>
      <c r="X148" s="39"/>
      <c r="Y148" s="39"/>
      <c r="Z148" s="39"/>
      <c r="AA148" s="39"/>
      <c r="AB148" s="39"/>
      <c r="AC148" s="39"/>
      <c r="AD148" s="39"/>
      <c r="AE148" s="39"/>
      <c r="AF148" s="39"/>
      <c r="AG148" s="39"/>
      <c r="AH148" s="39"/>
      <c r="AI148" s="39"/>
      <c r="AJ148" s="39"/>
      <c r="AK148" s="39"/>
      <c r="AL148" s="39"/>
      <c r="AM148" s="39"/>
      <c r="AN148" s="39"/>
      <c r="AO148" s="39"/>
      <c r="AP148" s="39"/>
      <c r="AQ148" s="39"/>
      <c r="AR148" s="39"/>
      <c r="AS148" s="39"/>
      <c r="AT148" s="39"/>
      <c r="AU148" s="39"/>
      <c r="AV148" s="39"/>
      <c r="AW148" s="39"/>
    </row>
    <row r="149" spans="1:49" s="64" customFormat="1" ht="12.75" customHeight="1" x14ac:dyDescent="0.25">
      <c r="A149" s="14" t="s">
        <v>48</v>
      </c>
      <c r="B149" s="15">
        <v>28243985</v>
      </c>
      <c r="C149" s="56" t="s">
        <v>423</v>
      </c>
      <c r="D149" s="80" t="s">
        <v>424</v>
      </c>
      <c r="E149" s="18" t="s">
        <v>958</v>
      </c>
      <c r="F149" s="58"/>
      <c r="G149" s="87"/>
      <c r="H149" s="87"/>
      <c r="I149" s="42"/>
      <c r="J149" s="20">
        <f>SUM(J150)</f>
        <v>0</v>
      </c>
      <c r="K149" s="20">
        <v>140.10846774193499</v>
      </c>
      <c r="L149" s="22">
        <f>SUM(L150:L150)</f>
        <v>0</v>
      </c>
      <c r="M149" s="88"/>
      <c r="N149" s="65"/>
      <c r="O149" s="65"/>
      <c r="P149" s="62"/>
      <c r="R149" s="48"/>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c r="AR149" s="65"/>
      <c r="AS149" s="65"/>
      <c r="AT149" s="65"/>
      <c r="AU149" s="65"/>
      <c r="AV149" s="65"/>
      <c r="AW149" s="65"/>
    </row>
    <row r="150" spans="1:49" s="48" customFormat="1" ht="45" x14ac:dyDescent="0.25">
      <c r="A150" s="33" t="s">
        <v>48</v>
      </c>
      <c r="B150" s="51" t="s">
        <v>425</v>
      </c>
      <c r="C150" s="35" t="s">
        <v>426</v>
      </c>
      <c r="D150" s="97" t="s">
        <v>427</v>
      </c>
      <c r="E150" s="37" t="s">
        <v>428</v>
      </c>
      <c r="F150" s="38" t="s">
        <v>55</v>
      </c>
      <c r="G150" s="84"/>
      <c r="H150" s="40" t="s">
        <v>429</v>
      </c>
      <c r="I150" s="42"/>
      <c r="J150" s="39">
        <v>0</v>
      </c>
      <c r="K150" s="42"/>
      <c r="L150" s="42">
        <v>0</v>
      </c>
      <c r="M150" s="50"/>
      <c r="N150" s="39"/>
      <c r="O150" s="39"/>
      <c r="P150" s="42">
        <v>0</v>
      </c>
      <c r="Q150" s="52"/>
      <c r="S150" s="39"/>
      <c r="T150" s="39"/>
      <c r="U150" s="39"/>
      <c r="V150" s="39"/>
      <c r="W150" s="39"/>
      <c r="X150" s="39"/>
      <c r="Y150" s="39"/>
      <c r="Z150" s="39"/>
      <c r="AA150" s="39"/>
      <c r="AB150" s="39"/>
      <c r="AC150" s="39"/>
      <c r="AD150" s="39"/>
      <c r="AE150" s="39"/>
      <c r="AF150" s="39"/>
      <c r="AG150" s="39"/>
      <c r="AH150" s="39"/>
      <c r="AI150" s="39"/>
      <c r="AJ150" s="39"/>
      <c r="AK150" s="39"/>
      <c r="AL150" s="39"/>
      <c r="AM150" s="39"/>
      <c r="AN150" s="39"/>
      <c r="AO150" s="39"/>
      <c r="AP150" s="39"/>
      <c r="AQ150" s="39"/>
      <c r="AR150" s="39"/>
      <c r="AS150" s="39"/>
      <c r="AT150" s="39"/>
      <c r="AU150" s="39"/>
      <c r="AV150" s="39"/>
      <c r="AW150" s="39"/>
    </row>
    <row r="151" spans="1:49" s="64" customFormat="1" ht="12.75" customHeight="1" x14ac:dyDescent="0.25">
      <c r="A151" s="14" t="s">
        <v>48</v>
      </c>
      <c r="B151" s="15">
        <v>28243985</v>
      </c>
      <c r="C151" s="56" t="s">
        <v>430</v>
      </c>
      <c r="D151" s="80" t="s">
        <v>431</v>
      </c>
      <c r="E151" s="18" t="s">
        <v>958</v>
      </c>
      <c r="F151" s="58"/>
      <c r="G151" s="87"/>
      <c r="H151" s="87"/>
      <c r="I151" s="42"/>
      <c r="J151" s="20">
        <f>SUM(J152:J157)</f>
        <v>155</v>
      </c>
      <c r="K151" s="20">
        <v>140.10846774193499</v>
      </c>
      <c r="L151" s="22">
        <f>SUM(L152:L157)</f>
        <v>21716.8125</v>
      </c>
      <c r="M151" s="88"/>
      <c r="N151" s="65"/>
      <c r="O151" s="65"/>
      <c r="P151" s="62"/>
      <c r="R151" s="48"/>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c r="AR151" s="65"/>
      <c r="AS151" s="65"/>
      <c r="AT151" s="65"/>
      <c r="AU151" s="65"/>
      <c r="AV151" s="65"/>
      <c r="AW151" s="65"/>
    </row>
    <row r="152" spans="1:49" s="48" customFormat="1" ht="22.5" x14ac:dyDescent="0.25">
      <c r="A152" s="33" t="s">
        <v>48</v>
      </c>
      <c r="B152" s="51" t="s">
        <v>432</v>
      </c>
      <c r="C152" s="35" t="s">
        <v>433</v>
      </c>
      <c r="D152" s="98" t="s">
        <v>434</v>
      </c>
      <c r="E152" s="37" t="s">
        <v>54</v>
      </c>
      <c r="F152" s="38" t="s">
        <v>435</v>
      </c>
      <c r="G152" s="84"/>
      <c r="H152" s="40" t="s">
        <v>56</v>
      </c>
      <c r="I152" s="42"/>
      <c r="J152" s="94">
        <v>70</v>
      </c>
      <c r="K152" s="42">
        <v>140.10846774193547</v>
      </c>
      <c r="L152" s="42">
        <v>9807.592741935483</v>
      </c>
      <c r="M152" s="50"/>
      <c r="N152" s="39"/>
      <c r="O152" s="39"/>
      <c r="P152" s="42">
        <v>0</v>
      </c>
      <c r="Q152" s="52"/>
      <c r="S152" s="39"/>
      <c r="T152" s="39"/>
      <c r="U152" s="39"/>
      <c r="V152" s="39"/>
      <c r="W152" s="39"/>
      <c r="X152" s="39"/>
      <c r="Y152" s="39"/>
      <c r="Z152" s="39"/>
      <c r="AA152" s="39"/>
      <c r="AB152" s="39"/>
      <c r="AC152" s="39"/>
      <c r="AD152" s="39"/>
      <c r="AE152" s="39"/>
      <c r="AF152" s="39"/>
      <c r="AG152" s="39"/>
      <c r="AH152" s="39"/>
      <c r="AI152" s="39"/>
      <c r="AJ152" s="39"/>
      <c r="AK152" s="39"/>
      <c r="AL152" s="39"/>
      <c r="AM152" s="39"/>
      <c r="AN152" s="39"/>
      <c r="AO152" s="39"/>
      <c r="AP152" s="39"/>
      <c r="AQ152" s="39"/>
      <c r="AR152" s="39"/>
      <c r="AS152" s="39"/>
      <c r="AT152" s="39"/>
      <c r="AU152" s="39"/>
      <c r="AV152" s="39"/>
      <c r="AW152" s="39"/>
    </row>
    <row r="153" spans="1:49" s="48" customFormat="1" ht="12.75" customHeight="1" x14ac:dyDescent="0.25">
      <c r="A153" s="33" t="s">
        <v>48</v>
      </c>
      <c r="B153" s="51" t="s">
        <v>436</v>
      </c>
      <c r="C153" s="35" t="s">
        <v>437</v>
      </c>
      <c r="D153" s="98" t="s">
        <v>438</v>
      </c>
      <c r="E153" s="37" t="s">
        <v>54</v>
      </c>
      <c r="F153" s="38" t="s">
        <v>435</v>
      </c>
      <c r="G153" s="84"/>
      <c r="H153" s="40" t="s">
        <v>56</v>
      </c>
      <c r="I153" s="42"/>
      <c r="J153" s="94"/>
      <c r="K153" s="42">
        <v>140.10846774193547</v>
      </c>
      <c r="L153" s="42">
        <v>0</v>
      </c>
      <c r="M153" s="50"/>
      <c r="N153" s="39"/>
      <c r="O153" s="39"/>
      <c r="P153" s="42">
        <v>0</v>
      </c>
      <c r="Q153" s="52"/>
      <c r="S153" s="39"/>
      <c r="T153" s="39"/>
      <c r="U153" s="39"/>
      <c r="V153" s="39"/>
      <c r="W153" s="39"/>
      <c r="X153" s="39"/>
      <c r="Y153" s="39"/>
      <c r="Z153" s="39"/>
      <c r="AA153" s="39"/>
      <c r="AB153" s="39"/>
      <c r="AC153" s="39"/>
      <c r="AD153" s="39"/>
      <c r="AE153" s="39"/>
      <c r="AF153" s="39"/>
      <c r="AG153" s="39"/>
      <c r="AH153" s="39"/>
      <c r="AI153" s="39"/>
      <c r="AJ153" s="39"/>
      <c r="AK153" s="39"/>
      <c r="AL153" s="39"/>
      <c r="AM153" s="39"/>
      <c r="AN153" s="39"/>
      <c r="AO153" s="39"/>
      <c r="AP153" s="39"/>
      <c r="AQ153" s="39"/>
      <c r="AR153" s="39"/>
      <c r="AS153" s="39"/>
      <c r="AT153" s="39"/>
      <c r="AU153" s="39"/>
      <c r="AV153" s="39"/>
      <c r="AW153" s="39"/>
    </row>
    <row r="154" spans="1:49" s="48" customFormat="1" ht="12.75" customHeight="1" x14ac:dyDescent="0.25">
      <c r="A154" s="33" t="s">
        <v>48</v>
      </c>
      <c r="B154" s="51" t="s">
        <v>439</v>
      </c>
      <c r="C154" s="35" t="s">
        <v>440</v>
      </c>
      <c r="D154" s="99" t="s">
        <v>441</v>
      </c>
      <c r="E154" s="37" t="s">
        <v>54</v>
      </c>
      <c r="F154" s="38" t="s">
        <v>55</v>
      </c>
      <c r="G154" s="84"/>
      <c r="H154" s="40" t="s">
        <v>56</v>
      </c>
      <c r="I154" s="42"/>
      <c r="J154" s="94">
        <v>20</v>
      </c>
      <c r="K154" s="42">
        <v>140.10846774193547</v>
      </c>
      <c r="L154" s="42">
        <v>2802.1693548387093</v>
      </c>
      <c r="M154" s="50"/>
      <c r="N154" s="39"/>
      <c r="O154" s="39"/>
      <c r="P154" s="42">
        <v>0</v>
      </c>
      <c r="Q154" s="52"/>
      <c r="S154" s="39"/>
      <c r="T154" s="39"/>
      <c r="U154" s="39"/>
      <c r="V154" s="39"/>
      <c r="W154" s="39"/>
      <c r="X154" s="39"/>
      <c r="Y154" s="39"/>
      <c r="Z154" s="39"/>
      <c r="AA154" s="39"/>
      <c r="AB154" s="39"/>
      <c r="AC154" s="39"/>
      <c r="AD154" s="39"/>
      <c r="AE154" s="39"/>
      <c r="AF154" s="39"/>
      <c r="AG154" s="39"/>
      <c r="AH154" s="39"/>
      <c r="AI154" s="39"/>
      <c r="AJ154" s="39"/>
      <c r="AK154" s="39"/>
      <c r="AL154" s="39"/>
      <c r="AM154" s="39"/>
      <c r="AN154" s="39"/>
      <c r="AO154" s="39"/>
      <c r="AP154" s="39"/>
      <c r="AQ154" s="39"/>
      <c r="AR154" s="39"/>
      <c r="AS154" s="39"/>
      <c r="AT154" s="39"/>
      <c r="AU154" s="39"/>
      <c r="AV154" s="39"/>
      <c r="AW154" s="39"/>
    </row>
    <row r="155" spans="1:49" s="48" customFormat="1" ht="12.75" customHeight="1" x14ac:dyDescent="0.25">
      <c r="A155" s="33" t="s">
        <v>48</v>
      </c>
      <c r="B155" s="51" t="s">
        <v>442</v>
      </c>
      <c r="C155" s="35" t="s">
        <v>443</v>
      </c>
      <c r="D155" s="98" t="s">
        <v>444</v>
      </c>
      <c r="E155" s="38" t="s">
        <v>54</v>
      </c>
      <c r="F155" s="38" t="s">
        <v>55</v>
      </c>
      <c r="G155" s="84"/>
      <c r="H155" s="40" t="s">
        <v>56</v>
      </c>
      <c r="I155" s="42"/>
      <c r="J155" s="94">
        <v>10</v>
      </c>
      <c r="K155" s="42">
        <v>140.10846774193547</v>
      </c>
      <c r="L155" s="42">
        <v>1401.0846774193546</v>
      </c>
      <c r="M155" s="50"/>
      <c r="N155" s="39"/>
      <c r="O155" s="39"/>
      <c r="P155" s="42">
        <v>0</v>
      </c>
      <c r="Q155" s="52"/>
      <c r="S155" s="39"/>
      <c r="T155" s="39"/>
      <c r="U155" s="39"/>
      <c r="V155" s="39"/>
      <c r="W155" s="39"/>
      <c r="X155" s="39"/>
      <c r="Y155" s="39"/>
      <c r="Z155" s="39"/>
      <c r="AA155" s="39"/>
      <c r="AB155" s="39"/>
      <c r="AC155" s="39"/>
      <c r="AD155" s="39"/>
      <c r="AE155" s="39"/>
      <c r="AF155" s="39"/>
      <c r="AG155" s="39"/>
      <c r="AH155" s="39"/>
      <c r="AI155" s="39"/>
      <c r="AJ155" s="39"/>
      <c r="AK155" s="39"/>
      <c r="AL155" s="39"/>
      <c r="AM155" s="39"/>
      <c r="AN155" s="39"/>
      <c r="AO155" s="39"/>
      <c r="AP155" s="39"/>
      <c r="AQ155" s="39"/>
      <c r="AR155" s="39"/>
      <c r="AS155" s="39"/>
      <c r="AT155" s="39"/>
      <c r="AU155" s="39"/>
      <c r="AV155" s="39"/>
      <c r="AW155" s="39"/>
    </row>
    <row r="156" spans="1:49" s="48" customFormat="1" ht="12.75" customHeight="1" x14ac:dyDescent="0.25">
      <c r="A156" s="33" t="s">
        <v>48</v>
      </c>
      <c r="B156" s="51" t="s">
        <v>445</v>
      </c>
      <c r="C156" s="35" t="s">
        <v>446</v>
      </c>
      <c r="D156" s="100" t="s">
        <v>447</v>
      </c>
      <c r="E156" s="38" t="s">
        <v>54</v>
      </c>
      <c r="F156" s="38" t="s">
        <v>55</v>
      </c>
      <c r="G156" s="84"/>
      <c r="H156" s="40" t="s">
        <v>56</v>
      </c>
      <c r="I156" s="42"/>
      <c r="J156" s="94">
        <v>20</v>
      </c>
      <c r="K156" s="42">
        <v>140.10846774193547</v>
      </c>
      <c r="L156" s="42">
        <v>2802.1693548387093</v>
      </c>
      <c r="M156" s="50"/>
      <c r="N156" s="39"/>
      <c r="O156" s="39"/>
      <c r="P156" s="42">
        <v>0</v>
      </c>
      <c r="Q156" s="52"/>
      <c r="S156" s="39"/>
      <c r="T156" s="39"/>
      <c r="U156" s="39"/>
      <c r="V156" s="39"/>
      <c r="W156" s="39"/>
      <c r="X156" s="39"/>
      <c r="Y156" s="39"/>
      <c r="Z156" s="39"/>
      <c r="AA156" s="39"/>
      <c r="AB156" s="39"/>
      <c r="AC156" s="39"/>
      <c r="AD156" s="39"/>
      <c r="AE156" s="39"/>
      <c r="AF156" s="39"/>
      <c r="AG156" s="39"/>
      <c r="AH156" s="39"/>
      <c r="AI156" s="39"/>
      <c r="AJ156" s="39"/>
      <c r="AK156" s="39"/>
      <c r="AL156" s="39"/>
      <c r="AM156" s="39"/>
      <c r="AN156" s="39"/>
      <c r="AO156" s="39"/>
      <c r="AP156" s="39"/>
      <c r="AQ156" s="39"/>
      <c r="AR156" s="39"/>
      <c r="AS156" s="39"/>
      <c r="AT156" s="39"/>
      <c r="AU156" s="39"/>
      <c r="AV156" s="39"/>
      <c r="AW156" s="39"/>
    </row>
    <row r="157" spans="1:49" s="48" customFormat="1" ht="12.75" customHeight="1" x14ac:dyDescent="0.25">
      <c r="A157" s="33" t="s">
        <v>48</v>
      </c>
      <c r="B157" s="51" t="s">
        <v>448</v>
      </c>
      <c r="C157" s="35" t="s">
        <v>449</v>
      </c>
      <c r="D157" s="99" t="s">
        <v>450</v>
      </c>
      <c r="E157" s="37" t="s">
        <v>54</v>
      </c>
      <c r="F157" s="38" t="s">
        <v>55</v>
      </c>
      <c r="G157" s="84"/>
      <c r="H157" s="40" t="s">
        <v>56</v>
      </c>
      <c r="I157" s="42"/>
      <c r="J157" s="94">
        <v>35</v>
      </c>
      <c r="K157" s="42">
        <v>140.10846774193547</v>
      </c>
      <c r="L157" s="42">
        <v>4903.7963709677415</v>
      </c>
      <c r="M157" s="50"/>
      <c r="N157" s="39"/>
      <c r="O157" s="39"/>
      <c r="P157" s="42">
        <v>0</v>
      </c>
      <c r="Q157" s="52"/>
      <c r="S157" s="39"/>
      <c r="T157" s="39"/>
      <c r="U157" s="39"/>
      <c r="V157" s="39"/>
      <c r="W157" s="39"/>
      <c r="X157" s="39"/>
      <c r="Y157" s="39"/>
      <c r="Z157" s="39"/>
      <c r="AA157" s="39"/>
      <c r="AB157" s="39"/>
      <c r="AC157" s="39"/>
      <c r="AD157" s="39"/>
      <c r="AE157" s="39"/>
      <c r="AF157" s="39"/>
      <c r="AG157" s="39"/>
      <c r="AH157" s="39"/>
      <c r="AI157" s="39"/>
      <c r="AJ157" s="39"/>
      <c r="AK157" s="39"/>
      <c r="AL157" s="39"/>
      <c r="AM157" s="39"/>
      <c r="AN157" s="39"/>
      <c r="AO157" s="39"/>
      <c r="AP157" s="39"/>
      <c r="AQ157" s="39"/>
      <c r="AR157" s="39"/>
      <c r="AS157" s="39"/>
      <c r="AT157" s="39"/>
      <c r="AU157" s="39"/>
      <c r="AV157" s="39"/>
      <c r="AW157" s="39"/>
    </row>
    <row r="158" spans="1:49" s="64" customFormat="1" ht="12.75" customHeight="1" x14ac:dyDescent="0.25">
      <c r="A158" s="14" t="s">
        <v>48</v>
      </c>
      <c r="B158" s="15">
        <v>28243985</v>
      </c>
      <c r="C158" s="56" t="s">
        <v>451</v>
      </c>
      <c r="D158" s="80" t="s">
        <v>452</v>
      </c>
      <c r="E158" s="18" t="s">
        <v>958</v>
      </c>
      <c r="F158" s="58"/>
      <c r="G158" s="87"/>
      <c r="H158" s="87"/>
      <c r="I158" s="42"/>
      <c r="J158" s="20">
        <f>SUM(J159:J168)</f>
        <v>247</v>
      </c>
      <c r="K158" s="20">
        <v>140.10846774193499</v>
      </c>
      <c r="L158" s="22">
        <f>SUM(L159:L168)</f>
        <v>34606.791532258059</v>
      </c>
      <c r="M158" s="88"/>
      <c r="N158" s="65"/>
      <c r="O158" s="65"/>
      <c r="P158" s="62"/>
      <c r="R158" s="48"/>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c r="AR158" s="65"/>
      <c r="AS158" s="65"/>
      <c r="AT158" s="65"/>
      <c r="AU158" s="65"/>
      <c r="AV158" s="65"/>
      <c r="AW158" s="65"/>
    </row>
    <row r="159" spans="1:49" s="48" customFormat="1" ht="12.75" customHeight="1" x14ac:dyDescent="0.25">
      <c r="A159" s="33" t="s">
        <v>48</v>
      </c>
      <c r="B159" s="51" t="s">
        <v>453</v>
      </c>
      <c r="C159" s="35" t="s">
        <v>454</v>
      </c>
      <c r="D159" s="93" t="s">
        <v>455</v>
      </c>
      <c r="E159" s="38" t="s">
        <v>54</v>
      </c>
      <c r="F159" s="38" t="s">
        <v>55</v>
      </c>
      <c r="G159" s="84"/>
      <c r="H159" s="40" t="s">
        <v>56</v>
      </c>
      <c r="I159" s="42"/>
      <c r="J159" s="39">
        <v>20</v>
      </c>
      <c r="K159" s="42">
        <v>140.10846774193547</v>
      </c>
      <c r="L159" s="42">
        <v>2802.1693548387093</v>
      </c>
      <c r="M159" s="50"/>
      <c r="N159" s="39"/>
      <c r="O159" s="39"/>
      <c r="P159" s="42">
        <v>0</v>
      </c>
      <c r="Q159" s="52"/>
      <c r="S159" s="39"/>
      <c r="T159" s="39"/>
      <c r="U159" s="39"/>
      <c r="V159" s="39"/>
      <c r="W159" s="39"/>
      <c r="X159" s="39"/>
      <c r="Y159" s="39"/>
      <c r="Z159" s="39"/>
      <c r="AA159" s="39"/>
      <c r="AB159" s="39"/>
      <c r="AC159" s="39"/>
      <c r="AD159" s="39"/>
      <c r="AE159" s="39"/>
      <c r="AF159" s="39"/>
      <c r="AG159" s="39"/>
      <c r="AH159" s="39"/>
      <c r="AI159" s="39"/>
      <c r="AJ159" s="39"/>
      <c r="AK159" s="39"/>
      <c r="AL159" s="39"/>
      <c r="AM159" s="39"/>
      <c r="AN159" s="39"/>
      <c r="AO159" s="39"/>
      <c r="AP159" s="39"/>
      <c r="AQ159" s="39"/>
      <c r="AR159" s="39"/>
      <c r="AS159" s="39"/>
      <c r="AT159" s="39"/>
      <c r="AU159" s="39"/>
      <c r="AV159" s="39"/>
      <c r="AW159" s="39"/>
    </row>
    <row r="160" spans="1:49" s="48" customFormat="1" ht="12.75" customHeight="1" x14ac:dyDescent="0.25">
      <c r="A160" s="33" t="s">
        <v>48</v>
      </c>
      <c r="B160" s="51" t="s">
        <v>456</v>
      </c>
      <c r="C160" s="35" t="s">
        <v>457</v>
      </c>
      <c r="D160" s="93" t="s">
        <v>458</v>
      </c>
      <c r="E160" s="38" t="s">
        <v>54</v>
      </c>
      <c r="F160" s="38" t="s">
        <v>55</v>
      </c>
      <c r="G160" s="84"/>
      <c r="H160" s="40" t="s">
        <v>56</v>
      </c>
      <c r="I160" s="42"/>
      <c r="J160" s="39">
        <v>8</v>
      </c>
      <c r="K160" s="42">
        <v>140.10846774193547</v>
      </c>
      <c r="L160" s="42">
        <v>1120.8677419354838</v>
      </c>
      <c r="M160" s="50"/>
      <c r="N160" s="39"/>
      <c r="O160" s="39"/>
      <c r="P160" s="42">
        <v>0</v>
      </c>
      <c r="Q160" s="52"/>
      <c r="S160" s="39"/>
      <c r="T160" s="39"/>
      <c r="U160" s="39"/>
      <c r="V160" s="39"/>
      <c r="W160" s="39"/>
      <c r="X160" s="39"/>
      <c r="Y160" s="39"/>
      <c r="Z160" s="39"/>
      <c r="AA160" s="39"/>
      <c r="AB160" s="39"/>
      <c r="AC160" s="39"/>
      <c r="AD160" s="39"/>
      <c r="AE160" s="39"/>
      <c r="AF160" s="39"/>
      <c r="AG160" s="39"/>
      <c r="AH160" s="39"/>
      <c r="AI160" s="39"/>
      <c r="AJ160" s="39"/>
      <c r="AK160" s="39"/>
      <c r="AL160" s="39"/>
      <c r="AM160" s="39"/>
      <c r="AN160" s="39"/>
      <c r="AO160" s="39"/>
      <c r="AP160" s="39"/>
      <c r="AQ160" s="39"/>
      <c r="AR160" s="39"/>
      <c r="AS160" s="39"/>
      <c r="AT160" s="39"/>
      <c r="AU160" s="39"/>
      <c r="AV160" s="39"/>
      <c r="AW160" s="39"/>
    </row>
    <row r="161" spans="1:49" s="48" customFormat="1" ht="12.75" customHeight="1" x14ac:dyDescent="0.25">
      <c r="A161" s="33" t="s">
        <v>48</v>
      </c>
      <c r="B161" s="51" t="s">
        <v>459</v>
      </c>
      <c r="C161" s="35" t="s">
        <v>460</v>
      </c>
      <c r="D161" s="93" t="s">
        <v>461</v>
      </c>
      <c r="E161" s="38" t="s">
        <v>54</v>
      </c>
      <c r="F161" s="38" t="s">
        <v>55</v>
      </c>
      <c r="G161" s="84"/>
      <c r="H161" s="40" t="s">
        <v>56</v>
      </c>
      <c r="I161" s="42"/>
      <c r="J161" s="39">
        <v>35</v>
      </c>
      <c r="K161" s="42">
        <v>140.10846774193547</v>
      </c>
      <c r="L161" s="42">
        <v>4903.7963709677415</v>
      </c>
      <c r="M161" s="50"/>
      <c r="N161" s="39"/>
      <c r="O161" s="39"/>
      <c r="P161" s="42">
        <v>0</v>
      </c>
      <c r="Q161" s="52"/>
      <c r="S161" s="39"/>
      <c r="T161" s="39"/>
      <c r="U161" s="39"/>
      <c r="V161" s="39"/>
      <c r="W161" s="39"/>
      <c r="X161" s="39"/>
      <c r="Y161" s="39"/>
      <c r="Z161" s="39"/>
      <c r="AA161" s="39"/>
      <c r="AB161" s="39"/>
      <c r="AC161" s="39"/>
      <c r="AD161" s="39"/>
      <c r="AE161" s="39"/>
      <c r="AF161" s="39"/>
      <c r="AG161" s="39"/>
      <c r="AH161" s="39"/>
      <c r="AI161" s="39"/>
      <c r="AJ161" s="39"/>
      <c r="AK161" s="39"/>
      <c r="AL161" s="39"/>
      <c r="AM161" s="39"/>
      <c r="AN161" s="39"/>
      <c r="AO161" s="39"/>
      <c r="AP161" s="39"/>
      <c r="AQ161" s="39"/>
      <c r="AR161" s="39"/>
      <c r="AS161" s="39"/>
      <c r="AT161" s="39"/>
      <c r="AU161" s="39"/>
      <c r="AV161" s="39"/>
      <c r="AW161" s="39"/>
    </row>
    <row r="162" spans="1:49" s="48" customFormat="1" ht="12.75" customHeight="1" x14ac:dyDescent="0.25">
      <c r="A162" s="33" t="s">
        <v>48</v>
      </c>
      <c r="B162" s="51" t="s">
        <v>462</v>
      </c>
      <c r="C162" s="35" t="s">
        <v>463</v>
      </c>
      <c r="D162" s="93" t="s">
        <v>464</v>
      </c>
      <c r="E162" s="38" t="s">
        <v>54</v>
      </c>
      <c r="F162" s="38" t="s">
        <v>55</v>
      </c>
      <c r="G162" s="84"/>
      <c r="H162" s="40" t="s">
        <v>56</v>
      </c>
      <c r="I162" s="42"/>
      <c r="J162" s="39">
        <v>74</v>
      </c>
      <c r="K162" s="42">
        <v>140.10846774193547</v>
      </c>
      <c r="L162" s="42">
        <v>10368.026612903224</v>
      </c>
      <c r="M162" s="50"/>
      <c r="N162" s="39"/>
      <c r="O162" s="39"/>
      <c r="P162" s="42">
        <v>0</v>
      </c>
      <c r="Q162" s="52"/>
      <c r="S162" s="39"/>
      <c r="T162" s="39"/>
      <c r="U162" s="39"/>
      <c r="V162" s="39"/>
      <c r="W162" s="39"/>
      <c r="X162" s="39"/>
      <c r="Y162" s="39"/>
      <c r="Z162" s="39"/>
      <c r="AA162" s="39"/>
      <c r="AB162" s="39"/>
      <c r="AC162" s="39"/>
      <c r="AD162" s="39"/>
      <c r="AE162" s="39"/>
      <c r="AF162" s="39"/>
      <c r="AG162" s="39"/>
      <c r="AH162" s="39"/>
      <c r="AI162" s="39"/>
      <c r="AJ162" s="39"/>
      <c r="AK162" s="39"/>
      <c r="AL162" s="39"/>
      <c r="AM162" s="39"/>
      <c r="AN162" s="39"/>
      <c r="AO162" s="39"/>
      <c r="AP162" s="39"/>
      <c r="AQ162" s="39"/>
      <c r="AR162" s="39"/>
      <c r="AS162" s="39"/>
      <c r="AT162" s="39"/>
      <c r="AU162" s="39"/>
      <c r="AV162" s="39"/>
      <c r="AW162" s="39"/>
    </row>
    <row r="163" spans="1:49" s="48" customFormat="1" ht="12.75" customHeight="1" x14ac:dyDescent="0.25">
      <c r="A163" s="33" t="s">
        <v>48</v>
      </c>
      <c r="B163" s="51" t="s">
        <v>465</v>
      </c>
      <c r="C163" s="35" t="s">
        <v>466</v>
      </c>
      <c r="D163" s="101" t="s">
        <v>467</v>
      </c>
      <c r="E163" s="38" t="s">
        <v>54</v>
      </c>
      <c r="F163" s="38" t="s">
        <v>55</v>
      </c>
      <c r="G163" s="84"/>
      <c r="H163" s="40" t="s">
        <v>56</v>
      </c>
      <c r="I163" s="42"/>
      <c r="J163" s="39">
        <v>10</v>
      </c>
      <c r="K163" s="42">
        <v>140.10846774193547</v>
      </c>
      <c r="L163" s="42">
        <v>1401.0846774193546</v>
      </c>
      <c r="M163" s="50"/>
      <c r="N163" s="39"/>
      <c r="O163" s="39"/>
      <c r="P163" s="42">
        <v>0</v>
      </c>
      <c r="Q163" s="52"/>
      <c r="S163" s="39"/>
      <c r="T163" s="39"/>
      <c r="U163" s="39"/>
      <c r="V163" s="39"/>
      <c r="W163" s="39"/>
      <c r="X163" s="39"/>
      <c r="Y163" s="39"/>
      <c r="Z163" s="39"/>
      <c r="AA163" s="39"/>
      <c r="AB163" s="39"/>
      <c r="AC163" s="39"/>
      <c r="AD163" s="39"/>
      <c r="AE163" s="39"/>
      <c r="AF163" s="39"/>
      <c r="AG163" s="39"/>
      <c r="AH163" s="39"/>
      <c r="AI163" s="39"/>
      <c r="AJ163" s="39"/>
      <c r="AK163" s="39"/>
      <c r="AL163" s="39"/>
      <c r="AM163" s="39"/>
      <c r="AN163" s="39"/>
      <c r="AO163" s="39"/>
      <c r="AP163" s="39"/>
      <c r="AQ163" s="39"/>
      <c r="AR163" s="39"/>
      <c r="AS163" s="39"/>
      <c r="AT163" s="39"/>
      <c r="AU163" s="39"/>
      <c r="AV163" s="39"/>
      <c r="AW163" s="39"/>
    </row>
    <row r="164" spans="1:49" s="48" customFormat="1" ht="12.75" customHeight="1" x14ac:dyDescent="0.25">
      <c r="A164" s="33" t="s">
        <v>48</v>
      </c>
      <c r="B164" s="51" t="s">
        <v>468</v>
      </c>
      <c r="C164" s="35" t="s">
        <v>469</v>
      </c>
      <c r="D164" s="101" t="s">
        <v>470</v>
      </c>
      <c r="E164" s="38" t="s">
        <v>54</v>
      </c>
      <c r="F164" s="38" t="s">
        <v>55</v>
      </c>
      <c r="G164" s="84"/>
      <c r="H164" s="40" t="s">
        <v>471</v>
      </c>
      <c r="I164" s="42"/>
      <c r="J164" s="39">
        <v>40</v>
      </c>
      <c r="K164" s="42">
        <v>140.10846774193547</v>
      </c>
      <c r="L164" s="42">
        <v>5604.3387096774186</v>
      </c>
      <c r="M164" s="50"/>
      <c r="N164" s="39"/>
      <c r="O164" s="39"/>
      <c r="P164" s="42">
        <v>0</v>
      </c>
      <c r="Q164" s="52"/>
      <c r="S164" s="39"/>
      <c r="T164" s="39"/>
      <c r="U164" s="39"/>
      <c r="V164" s="39"/>
      <c r="W164" s="39"/>
      <c r="X164" s="39"/>
      <c r="Y164" s="39"/>
      <c r="Z164" s="39"/>
      <c r="AA164" s="39"/>
      <c r="AB164" s="39"/>
      <c r="AC164" s="39"/>
      <c r="AD164" s="39"/>
      <c r="AE164" s="39"/>
      <c r="AF164" s="39"/>
      <c r="AG164" s="39"/>
      <c r="AH164" s="39"/>
      <c r="AI164" s="39"/>
      <c r="AJ164" s="39"/>
      <c r="AK164" s="39"/>
      <c r="AL164" s="39"/>
      <c r="AM164" s="39"/>
      <c r="AN164" s="39"/>
      <c r="AO164" s="39"/>
      <c r="AP164" s="39"/>
      <c r="AQ164" s="39"/>
      <c r="AR164" s="39"/>
      <c r="AS164" s="39"/>
      <c r="AT164" s="39"/>
      <c r="AU164" s="39"/>
      <c r="AV164" s="39"/>
      <c r="AW164" s="39"/>
    </row>
    <row r="165" spans="1:49" s="48" customFormat="1" ht="12.75" customHeight="1" x14ac:dyDescent="0.25">
      <c r="A165" s="33" t="s">
        <v>48</v>
      </c>
      <c r="B165" s="51" t="s">
        <v>472</v>
      </c>
      <c r="C165" s="35" t="s">
        <v>473</v>
      </c>
      <c r="D165" s="36" t="s">
        <v>474</v>
      </c>
      <c r="E165" s="38" t="s">
        <v>54</v>
      </c>
      <c r="F165" s="38" t="s">
        <v>55</v>
      </c>
      <c r="G165" s="84"/>
      <c r="H165" s="40" t="s">
        <v>56</v>
      </c>
      <c r="I165" s="42"/>
      <c r="J165" s="39">
        <v>20</v>
      </c>
      <c r="K165" s="42">
        <v>140.10846774193547</v>
      </c>
      <c r="L165" s="42">
        <v>2802.1693548387093</v>
      </c>
      <c r="M165" s="50"/>
      <c r="N165" s="39"/>
      <c r="O165" s="39"/>
      <c r="P165" s="42">
        <v>0</v>
      </c>
      <c r="Q165" s="52"/>
      <c r="S165" s="39"/>
      <c r="T165" s="39"/>
      <c r="U165" s="39"/>
      <c r="V165" s="39"/>
      <c r="W165" s="39"/>
      <c r="X165" s="39"/>
      <c r="Y165" s="39"/>
      <c r="Z165" s="39"/>
      <c r="AA165" s="39"/>
      <c r="AB165" s="39"/>
      <c r="AC165" s="39"/>
      <c r="AD165" s="39"/>
      <c r="AE165" s="39"/>
      <c r="AF165" s="39"/>
      <c r="AG165" s="39"/>
      <c r="AH165" s="39"/>
      <c r="AI165" s="39"/>
      <c r="AJ165" s="39"/>
      <c r="AK165" s="39"/>
      <c r="AL165" s="39"/>
      <c r="AM165" s="39"/>
      <c r="AN165" s="39"/>
      <c r="AO165" s="39"/>
      <c r="AP165" s="39"/>
      <c r="AQ165" s="39"/>
      <c r="AR165" s="39"/>
      <c r="AS165" s="39"/>
      <c r="AT165" s="39"/>
      <c r="AU165" s="39"/>
      <c r="AV165" s="39"/>
      <c r="AW165" s="39"/>
    </row>
    <row r="166" spans="1:49" s="48" customFormat="1" ht="12.75" customHeight="1" x14ac:dyDescent="0.25">
      <c r="A166" s="33" t="s">
        <v>48</v>
      </c>
      <c r="B166" s="51" t="s">
        <v>475</v>
      </c>
      <c r="C166" s="35" t="s">
        <v>476</v>
      </c>
      <c r="D166" s="36" t="s">
        <v>477</v>
      </c>
      <c r="E166" s="38" t="s">
        <v>54</v>
      </c>
      <c r="F166" s="38" t="s">
        <v>55</v>
      </c>
      <c r="G166" s="84"/>
      <c r="H166" s="40" t="s">
        <v>56</v>
      </c>
      <c r="I166" s="42"/>
      <c r="J166" s="39">
        <v>10</v>
      </c>
      <c r="K166" s="42">
        <v>140.10846774193547</v>
      </c>
      <c r="L166" s="42">
        <v>1401.0846774193546</v>
      </c>
      <c r="M166" s="50"/>
      <c r="N166" s="39"/>
      <c r="O166" s="39"/>
      <c r="P166" s="42">
        <v>0</v>
      </c>
      <c r="Q166" s="52"/>
      <c r="S166" s="39"/>
      <c r="T166" s="39"/>
      <c r="U166" s="39"/>
      <c r="V166" s="39"/>
      <c r="W166" s="39"/>
      <c r="X166" s="39"/>
      <c r="Y166" s="39"/>
      <c r="Z166" s="39"/>
      <c r="AA166" s="39"/>
      <c r="AB166" s="39"/>
      <c r="AC166" s="39"/>
      <c r="AD166" s="39"/>
      <c r="AE166" s="39"/>
      <c r="AF166" s="39"/>
      <c r="AG166" s="39"/>
      <c r="AH166" s="39"/>
      <c r="AI166" s="39"/>
      <c r="AJ166" s="39"/>
      <c r="AK166" s="39"/>
      <c r="AL166" s="39"/>
      <c r="AM166" s="39"/>
      <c r="AN166" s="39"/>
      <c r="AO166" s="39"/>
      <c r="AP166" s="39"/>
      <c r="AQ166" s="39"/>
      <c r="AR166" s="39"/>
      <c r="AS166" s="39"/>
      <c r="AT166" s="39"/>
      <c r="AU166" s="39"/>
      <c r="AV166" s="39"/>
      <c r="AW166" s="39"/>
    </row>
    <row r="167" spans="1:49" s="48" customFormat="1" ht="12.75" customHeight="1" x14ac:dyDescent="0.25">
      <c r="A167" s="33" t="s">
        <v>48</v>
      </c>
      <c r="B167" s="51" t="s">
        <v>478</v>
      </c>
      <c r="C167" s="35" t="s">
        <v>479</v>
      </c>
      <c r="D167" s="36" t="s">
        <v>480</v>
      </c>
      <c r="E167" s="38" t="s">
        <v>54</v>
      </c>
      <c r="F167" s="38" t="s">
        <v>55</v>
      </c>
      <c r="G167" s="84"/>
      <c r="H167" s="40" t="s">
        <v>56</v>
      </c>
      <c r="I167" s="42"/>
      <c r="J167" s="39">
        <v>20</v>
      </c>
      <c r="K167" s="42">
        <v>140.10846774193547</v>
      </c>
      <c r="L167" s="42">
        <v>2802.1693548387093</v>
      </c>
      <c r="M167" s="50"/>
      <c r="N167" s="39"/>
      <c r="O167" s="39"/>
      <c r="P167" s="42">
        <v>0</v>
      </c>
      <c r="Q167" s="52"/>
      <c r="S167" s="39"/>
      <c r="T167" s="39"/>
      <c r="U167" s="39"/>
      <c r="V167" s="39"/>
      <c r="W167" s="39"/>
      <c r="X167" s="39"/>
      <c r="Y167" s="39"/>
      <c r="Z167" s="39"/>
      <c r="AA167" s="39"/>
      <c r="AB167" s="39"/>
      <c r="AC167" s="39"/>
      <c r="AD167" s="39"/>
      <c r="AE167" s="39"/>
      <c r="AF167" s="39"/>
      <c r="AG167" s="39"/>
      <c r="AH167" s="39"/>
      <c r="AI167" s="39"/>
      <c r="AJ167" s="39"/>
      <c r="AK167" s="39"/>
      <c r="AL167" s="39"/>
      <c r="AM167" s="39"/>
      <c r="AN167" s="39"/>
      <c r="AO167" s="39"/>
      <c r="AP167" s="39"/>
      <c r="AQ167" s="39"/>
      <c r="AR167" s="39"/>
      <c r="AS167" s="39"/>
      <c r="AT167" s="39"/>
      <c r="AU167" s="39"/>
      <c r="AV167" s="39"/>
      <c r="AW167" s="39"/>
    </row>
    <row r="168" spans="1:49" s="48" customFormat="1" ht="12.75" customHeight="1" x14ac:dyDescent="0.25">
      <c r="A168" s="33" t="s">
        <v>48</v>
      </c>
      <c r="B168" s="51" t="s">
        <v>481</v>
      </c>
      <c r="C168" s="35" t="s">
        <v>482</v>
      </c>
      <c r="D168" s="36" t="s">
        <v>483</v>
      </c>
      <c r="E168" s="38" t="s">
        <v>54</v>
      </c>
      <c r="F168" s="38" t="s">
        <v>55</v>
      </c>
      <c r="G168" s="84"/>
      <c r="H168" s="40" t="s">
        <v>56</v>
      </c>
      <c r="I168" s="42"/>
      <c r="J168" s="39">
        <v>10</v>
      </c>
      <c r="K168" s="42">
        <v>140.10846774193547</v>
      </c>
      <c r="L168" s="42">
        <v>1401.0846774193546</v>
      </c>
      <c r="M168" s="50"/>
      <c r="N168" s="39"/>
      <c r="O168" s="39"/>
      <c r="P168" s="42">
        <v>0</v>
      </c>
      <c r="Q168" s="52"/>
      <c r="S168" s="39"/>
      <c r="T168" s="39"/>
      <c r="U168" s="39"/>
      <c r="V168" s="39"/>
      <c r="W168" s="39"/>
      <c r="X168" s="39"/>
      <c r="Y168" s="39"/>
      <c r="Z168" s="39"/>
      <c r="AA168" s="39"/>
      <c r="AB168" s="39"/>
      <c r="AC168" s="39"/>
      <c r="AD168" s="39"/>
      <c r="AE168" s="39"/>
      <c r="AF168" s="39"/>
      <c r="AG168" s="39"/>
      <c r="AH168" s="39"/>
      <c r="AI168" s="39"/>
      <c r="AJ168" s="39"/>
      <c r="AK168" s="39"/>
      <c r="AL168" s="39"/>
      <c r="AM168" s="39"/>
      <c r="AN168" s="39"/>
      <c r="AO168" s="39"/>
      <c r="AP168" s="39"/>
      <c r="AQ168" s="39"/>
      <c r="AR168" s="39"/>
      <c r="AS168" s="39"/>
      <c r="AT168" s="39"/>
      <c r="AU168" s="39"/>
      <c r="AV168" s="39"/>
      <c r="AW168" s="39"/>
    </row>
    <row r="169" spans="1:49" s="64" customFormat="1" ht="12.75" customHeight="1" x14ac:dyDescent="0.25">
      <c r="A169" s="14" t="s">
        <v>484</v>
      </c>
      <c r="B169" s="15">
        <v>28243978</v>
      </c>
      <c r="C169" s="56" t="s">
        <v>485</v>
      </c>
      <c r="D169" s="80" t="s">
        <v>486</v>
      </c>
      <c r="E169" s="18" t="s">
        <v>958</v>
      </c>
      <c r="F169" s="58" t="s">
        <v>55</v>
      </c>
      <c r="G169" s="87"/>
      <c r="H169" s="87" t="s">
        <v>56</v>
      </c>
      <c r="I169" s="42"/>
      <c r="J169" s="20">
        <f>SUM(J170:J176)</f>
        <v>141</v>
      </c>
      <c r="K169" s="20">
        <v>140.10846774193499</v>
      </c>
      <c r="L169" s="22">
        <f>SUM(L170:L176)</f>
        <v>19755.293951612901</v>
      </c>
      <c r="M169" s="88"/>
      <c r="N169" s="65"/>
      <c r="O169" s="65"/>
      <c r="P169" s="62">
        <v>0</v>
      </c>
      <c r="R169" s="48"/>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c r="AR169" s="65"/>
      <c r="AS169" s="65"/>
      <c r="AT169" s="65"/>
      <c r="AU169" s="65"/>
      <c r="AV169" s="65"/>
      <c r="AW169" s="65"/>
    </row>
    <row r="170" spans="1:49" s="48" customFormat="1" ht="12.75" customHeight="1" x14ac:dyDescent="0.25">
      <c r="A170" s="33" t="s">
        <v>484</v>
      </c>
      <c r="B170" s="51" t="s">
        <v>487</v>
      </c>
      <c r="C170" s="35" t="s">
        <v>488</v>
      </c>
      <c r="D170" s="102" t="s">
        <v>489</v>
      </c>
      <c r="E170" s="38" t="s">
        <v>54</v>
      </c>
      <c r="F170" s="38" t="s">
        <v>55</v>
      </c>
      <c r="G170" s="84"/>
      <c r="H170" s="40" t="s">
        <v>56</v>
      </c>
      <c r="I170" s="42"/>
      <c r="J170" s="39">
        <v>50</v>
      </c>
      <c r="K170" s="42">
        <v>140.10846774193547</v>
      </c>
      <c r="L170" s="42">
        <v>7005.4233870967737</v>
      </c>
      <c r="M170" s="50"/>
      <c r="N170" s="39"/>
      <c r="O170" s="39"/>
      <c r="P170" s="42">
        <v>0</v>
      </c>
      <c r="Q170" s="52"/>
      <c r="S170" s="39"/>
      <c r="T170" s="39"/>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row>
    <row r="171" spans="1:49" s="48" customFormat="1" ht="12.75" customHeight="1" x14ac:dyDescent="0.25">
      <c r="A171" s="33" t="s">
        <v>484</v>
      </c>
      <c r="B171" s="51" t="s">
        <v>490</v>
      </c>
      <c r="C171" s="35" t="s">
        <v>491</v>
      </c>
      <c r="D171" s="102" t="s">
        <v>492</v>
      </c>
      <c r="E171" s="38" t="s">
        <v>54</v>
      </c>
      <c r="F171" s="38" t="s">
        <v>55</v>
      </c>
      <c r="G171" s="84"/>
      <c r="H171" s="40" t="s">
        <v>56</v>
      </c>
      <c r="I171" s="42"/>
      <c r="J171" s="39"/>
      <c r="K171" s="42">
        <v>140.10846774193547</v>
      </c>
      <c r="L171" s="42">
        <v>0</v>
      </c>
      <c r="M171" s="50"/>
      <c r="N171" s="39"/>
      <c r="O171" s="39"/>
      <c r="P171" s="42">
        <v>0</v>
      </c>
      <c r="Q171" s="52"/>
      <c r="S171" s="39"/>
      <c r="T171" s="39"/>
      <c r="U171" s="39"/>
      <c r="V171" s="39"/>
      <c r="W171" s="39"/>
      <c r="X171" s="39"/>
      <c r="Y171" s="39"/>
      <c r="Z171" s="39"/>
      <c r="AA171" s="39"/>
      <c r="AB171" s="39"/>
      <c r="AC171" s="39"/>
      <c r="AD171" s="39"/>
      <c r="AE171" s="39"/>
      <c r="AF171" s="39"/>
      <c r="AG171" s="39"/>
      <c r="AH171" s="39"/>
      <c r="AI171" s="39"/>
      <c r="AJ171" s="39"/>
      <c r="AK171" s="39"/>
      <c r="AL171" s="39"/>
      <c r="AM171" s="39"/>
      <c r="AN171" s="39"/>
      <c r="AO171" s="39"/>
      <c r="AP171" s="39"/>
      <c r="AQ171" s="39"/>
      <c r="AR171" s="39"/>
      <c r="AS171" s="39"/>
      <c r="AT171" s="39"/>
      <c r="AU171" s="39"/>
      <c r="AV171" s="39"/>
      <c r="AW171" s="39"/>
    </row>
    <row r="172" spans="1:49" s="48" customFormat="1" ht="12.75" customHeight="1" x14ac:dyDescent="0.25">
      <c r="A172" s="33"/>
      <c r="B172" s="51"/>
      <c r="C172" s="35" t="s">
        <v>493</v>
      </c>
      <c r="D172" s="103" t="s">
        <v>494</v>
      </c>
      <c r="E172" s="38" t="s">
        <v>54</v>
      </c>
      <c r="F172" s="38" t="s">
        <v>55</v>
      </c>
      <c r="G172" s="84"/>
      <c r="H172" s="40" t="s">
        <v>56</v>
      </c>
      <c r="I172" s="42"/>
      <c r="J172" s="39"/>
      <c r="K172" s="42">
        <v>140.10846774193547</v>
      </c>
      <c r="L172" s="42">
        <v>0</v>
      </c>
      <c r="M172" s="50"/>
      <c r="N172" s="39"/>
      <c r="O172" s="39"/>
      <c r="P172" s="42">
        <v>0</v>
      </c>
      <c r="Q172" s="52"/>
      <c r="S172" s="39"/>
      <c r="T172" s="39"/>
      <c r="U172" s="39"/>
      <c r="V172" s="39"/>
      <c r="W172" s="39"/>
      <c r="X172" s="39"/>
      <c r="Y172" s="39"/>
      <c r="Z172" s="39"/>
      <c r="AA172" s="39"/>
      <c r="AB172" s="39"/>
      <c r="AC172" s="39"/>
      <c r="AD172" s="39"/>
      <c r="AE172" s="39"/>
      <c r="AF172" s="39"/>
      <c r="AG172" s="39"/>
      <c r="AH172" s="39"/>
      <c r="AI172" s="39"/>
      <c r="AJ172" s="39"/>
      <c r="AK172" s="39"/>
      <c r="AL172" s="39"/>
      <c r="AM172" s="39"/>
      <c r="AN172" s="39"/>
      <c r="AO172" s="39"/>
      <c r="AP172" s="39"/>
      <c r="AQ172" s="39"/>
      <c r="AR172" s="39"/>
      <c r="AS172" s="39"/>
      <c r="AT172" s="39"/>
      <c r="AU172" s="39"/>
      <c r="AV172" s="39"/>
      <c r="AW172" s="39"/>
    </row>
    <row r="173" spans="1:49" s="48" customFormat="1" ht="12.75" customHeight="1" x14ac:dyDescent="0.25">
      <c r="A173" s="33" t="s">
        <v>484</v>
      </c>
      <c r="B173" s="51" t="s">
        <v>495</v>
      </c>
      <c r="C173" s="35" t="s">
        <v>496</v>
      </c>
      <c r="D173" s="102" t="s">
        <v>497</v>
      </c>
      <c r="E173" s="38" t="s">
        <v>54</v>
      </c>
      <c r="F173" s="38" t="s">
        <v>55</v>
      </c>
      <c r="G173" s="84"/>
      <c r="H173" s="40" t="s">
        <v>56</v>
      </c>
      <c r="I173" s="42"/>
      <c r="J173" s="39">
        <v>40</v>
      </c>
      <c r="K173" s="42">
        <v>140.10846774193547</v>
      </c>
      <c r="L173" s="42">
        <v>5604.3387096774186</v>
      </c>
      <c r="M173" s="50"/>
      <c r="N173" s="39"/>
      <c r="O173" s="39"/>
      <c r="P173" s="42">
        <v>0</v>
      </c>
      <c r="Q173" s="52"/>
      <c r="S173" s="39"/>
      <c r="T173" s="39"/>
      <c r="U173" s="39"/>
      <c r="V173" s="39"/>
      <c r="W173" s="39"/>
      <c r="X173" s="39"/>
      <c r="Y173" s="39"/>
      <c r="Z173" s="39"/>
      <c r="AA173" s="39"/>
      <c r="AB173" s="39"/>
      <c r="AC173" s="39"/>
      <c r="AD173" s="39"/>
      <c r="AE173" s="39"/>
      <c r="AF173" s="39"/>
      <c r="AG173" s="39"/>
      <c r="AH173" s="39"/>
      <c r="AI173" s="39"/>
      <c r="AJ173" s="39"/>
      <c r="AK173" s="39"/>
      <c r="AL173" s="39"/>
      <c r="AM173" s="39"/>
      <c r="AN173" s="39"/>
      <c r="AO173" s="39"/>
      <c r="AP173" s="39"/>
      <c r="AQ173" s="39"/>
      <c r="AR173" s="39"/>
      <c r="AS173" s="39"/>
      <c r="AT173" s="39"/>
      <c r="AU173" s="39"/>
      <c r="AV173" s="39"/>
      <c r="AW173" s="39"/>
    </row>
    <row r="174" spans="1:49" s="48" customFormat="1" ht="12.75" customHeight="1" x14ac:dyDescent="0.25">
      <c r="A174" s="33" t="s">
        <v>484</v>
      </c>
      <c r="B174" s="51" t="s">
        <v>498</v>
      </c>
      <c r="C174" s="35" t="s">
        <v>499</v>
      </c>
      <c r="D174" s="102" t="s">
        <v>500</v>
      </c>
      <c r="E174" s="38" t="s">
        <v>54</v>
      </c>
      <c r="F174" s="38" t="s">
        <v>55</v>
      </c>
      <c r="G174" s="84"/>
      <c r="H174" s="40" t="s">
        <v>56</v>
      </c>
      <c r="I174" s="42"/>
      <c r="J174" s="39">
        <v>10</v>
      </c>
      <c r="K174" s="42">
        <v>140.10846774193547</v>
      </c>
      <c r="L174" s="42">
        <v>1401.0846774193546</v>
      </c>
      <c r="M174" s="50"/>
      <c r="N174" s="39"/>
      <c r="O174" s="39"/>
      <c r="P174" s="42">
        <v>0</v>
      </c>
      <c r="Q174" s="52"/>
      <c r="S174" s="39"/>
      <c r="T174" s="39"/>
      <c r="U174" s="39"/>
      <c r="V174" s="39"/>
      <c r="W174" s="39"/>
      <c r="X174" s="39"/>
      <c r="Y174" s="39"/>
      <c r="Z174" s="39"/>
      <c r="AA174" s="39"/>
      <c r="AB174" s="39"/>
      <c r="AC174" s="39"/>
      <c r="AD174" s="39"/>
      <c r="AE174" s="39"/>
      <c r="AF174" s="39"/>
      <c r="AG174" s="39"/>
      <c r="AH174" s="39"/>
      <c r="AI174" s="39"/>
      <c r="AJ174" s="39"/>
      <c r="AK174" s="39"/>
      <c r="AL174" s="39"/>
      <c r="AM174" s="39"/>
      <c r="AN174" s="39"/>
      <c r="AO174" s="39"/>
      <c r="AP174" s="39"/>
      <c r="AQ174" s="39"/>
      <c r="AR174" s="39"/>
      <c r="AS174" s="39"/>
      <c r="AT174" s="39"/>
      <c r="AU174" s="39"/>
      <c r="AV174" s="39"/>
      <c r="AW174" s="39"/>
    </row>
    <row r="175" spans="1:49" s="48" customFormat="1" ht="12.75" customHeight="1" x14ac:dyDescent="0.25">
      <c r="A175" s="33" t="s">
        <v>484</v>
      </c>
      <c r="B175" s="51" t="s">
        <v>501</v>
      </c>
      <c r="C175" s="35" t="s">
        <v>502</v>
      </c>
      <c r="D175" s="102" t="s">
        <v>503</v>
      </c>
      <c r="E175" s="38" t="s">
        <v>54</v>
      </c>
      <c r="F175" s="38" t="s">
        <v>504</v>
      </c>
      <c r="G175" s="84"/>
      <c r="H175" s="40" t="s">
        <v>56</v>
      </c>
      <c r="I175" s="42"/>
      <c r="J175" s="39"/>
      <c r="K175" s="42"/>
      <c r="L175" s="42">
        <v>0</v>
      </c>
      <c r="M175" s="50"/>
      <c r="N175" s="39"/>
      <c r="O175" s="39"/>
      <c r="P175" s="42">
        <v>0</v>
      </c>
      <c r="Q175" s="52"/>
      <c r="S175" s="39"/>
      <c r="T175" s="39"/>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row>
    <row r="176" spans="1:49" s="48" customFormat="1" ht="12.75" customHeight="1" x14ac:dyDescent="0.25">
      <c r="A176" s="33" t="s">
        <v>484</v>
      </c>
      <c r="B176" s="51" t="s">
        <v>505</v>
      </c>
      <c r="C176" s="35" t="s">
        <v>506</v>
      </c>
      <c r="D176" s="102" t="s">
        <v>507</v>
      </c>
      <c r="E176" s="38" t="s">
        <v>54</v>
      </c>
      <c r="F176" s="38" t="s">
        <v>55</v>
      </c>
      <c r="G176" s="84"/>
      <c r="H176" s="40" t="s">
        <v>56</v>
      </c>
      <c r="I176" s="42"/>
      <c r="J176" s="39">
        <v>41</v>
      </c>
      <c r="K176" s="42">
        <v>140.10846774193547</v>
      </c>
      <c r="L176" s="42">
        <v>5744.4471774193544</v>
      </c>
      <c r="M176" s="50"/>
      <c r="N176" s="39"/>
      <c r="O176" s="39"/>
      <c r="P176" s="42">
        <v>0</v>
      </c>
      <c r="Q176" s="52"/>
      <c r="S176" s="39"/>
      <c r="T176" s="39"/>
      <c r="U176" s="39"/>
      <c r="V176" s="39"/>
      <c r="W176" s="39"/>
      <c r="X176" s="39"/>
      <c r="Y176" s="39"/>
      <c r="Z176" s="39"/>
      <c r="AA176" s="39"/>
      <c r="AB176" s="39"/>
      <c r="AC176" s="39"/>
      <c r="AD176" s="39"/>
      <c r="AE176" s="39"/>
      <c r="AF176" s="39"/>
      <c r="AG176" s="39"/>
      <c r="AH176" s="39"/>
      <c r="AI176" s="39"/>
      <c r="AJ176" s="39"/>
      <c r="AK176" s="39"/>
      <c r="AL176" s="39"/>
      <c r="AM176" s="39"/>
      <c r="AN176" s="39"/>
      <c r="AO176" s="39"/>
      <c r="AP176" s="39"/>
      <c r="AQ176" s="39"/>
      <c r="AR176" s="39"/>
      <c r="AS176" s="39"/>
      <c r="AT176" s="39"/>
      <c r="AU176" s="39"/>
      <c r="AV176" s="39"/>
      <c r="AW176" s="39"/>
    </row>
    <row r="177" spans="1:49" s="64" customFormat="1" ht="12.75" customHeight="1" x14ac:dyDescent="0.25">
      <c r="A177" s="14" t="s">
        <v>484</v>
      </c>
      <c r="B177" s="15">
        <v>28243979</v>
      </c>
      <c r="C177" s="56" t="s">
        <v>508</v>
      </c>
      <c r="D177" s="80" t="s">
        <v>509</v>
      </c>
      <c r="E177" s="18" t="s">
        <v>958</v>
      </c>
      <c r="F177" s="58"/>
      <c r="G177" s="87"/>
      <c r="H177" s="87"/>
      <c r="I177" s="42"/>
      <c r="J177" s="20">
        <f>SUM(J178:J195)</f>
        <v>361</v>
      </c>
      <c r="K177" s="20">
        <v>140.10846774193499</v>
      </c>
      <c r="L177" s="22">
        <f>SUM(L178:L195)</f>
        <v>50579.156854838708</v>
      </c>
      <c r="M177" s="88"/>
      <c r="N177" s="65"/>
      <c r="O177" s="65"/>
      <c r="P177" s="62"/>
      <c r="R177" s="48"/>
      <c r="S177" s="65"/>
      <c r="T177" s="65"/>
      <c r="U177" s="65"/>
      <c r="V177" s="65"/>
      <c r="W177" s="65"/>
      <c r="X177" s="65"/>
      <c r="Y177" s="65"/>
      <c r="Z177" s="65"/>
      <c r="AA177" s="65"/>
      <c r="AB177" s="65"/>
      <c r="AC177" s="65"/>
      <c r="AD177" s="65"/>
      <c r="AE177" s="65"/>
      <c r="AF177" s="65"/>
      <c r="AG177" s="65"/>
      <c r="AH177" s="65"/>
      <c r="AI177" s="65"/>
      <c r="AJ177" s="65"/>
      <c r="AK177" s="65"/>
      <c r="AL177" s="65"/>
      <c r="AM177" s="65"/>
      <c r="AN177" s="65"/>
      <c r="AO177" s="65"/>
      <c r="AP177" s="65"/>
      <c r="AQ177" s="65"/>
      <c r="AR177" s="65"/>
      <c r="AS177" s="65"/>
      <c r="AT177" s="65"/>
      <c r="AU177" s="65"/>
      <c r="AV177" s="65"/>
      <c r="AW177" s="65"/>
    </row>
    <row r="178" spans="1:49" s="48" customFormat="1" ht="12.75" customHeight="1" x14ac:dyDescent="0.25">
      <c r="A178" s="33"/>
      <c r="B178" s="51"/>
      <c r="C178" s="35" t="s">
        <v>510</v>
      </c>
      <c r="D178" s="103" t="s">
        <v>511</v>
      </c>
      <c r="E178" s="37" t="s">
        <v>54</v>
      </c>
      <c r="F178" s="38" t="s">
        <v>55</v>
      </c>
      <c r="G178" s="84"/>
      <c r="H178" s="40" t="s">
        <v>56</v>
      </c>
      <c r="I178" s="42"/>
      <c r="J178" s="39"/>
      <c r="K178" s="42">
        <v>140.10846774193547</v>
      </c>
      <c r="L178" s="42">
        <v>0</v>
      </c>
      <c r="M178" s="50"/>
      <c r="N178" s="39"/>
      <c r="O178" s="39"/>
      <c r="P178" s="42">
        <v>0</v>
      </c>
      <c r="Q178" s="52"/>
      <c r="S178" s="39"/>
      <c r="T178" s="39"/>
      <c r="U178" s="39"/>
      <c r="V178" s="39"/>
      <c r="W178" s="39"/>
      <c r="X178" s="39"/>
      <c r="Y178" s="39"/>
      <c r="Z178" s="39"/>
      <c r="AA178" s="39"/>
      <c r="AB178" s="39"/>
      <c r="AC178" s="39"/>
      <c r="AD178" s="39"/>
      <c r="AE178" s="39"/>
      <c r="AF178" s="39"/>
      <c r="AG178" s="39"/>
      <c r="AH178" s="39"/>
      <c r="AI178" s="39"/>
      <c r="AJ178" s="39"/>
      <c r="AK178" s="39"/>
      <c r="AL178" s="39"/>
      <c r="AM178" s="39"/>
      <c r="AN178" s="39"/>
      <c r="AO178" s="39"/>
      <c r="AP178" s="39"/>
      <c r="AQ178" s="39"/>
      <c r="AR178" s="39"/>
      <c r="AS178" s="39"/>
      <c r="AT178" s="39"/>
      <c r="AU178" s="39"/>
      <c r="AV178" s="39"/>
      <c r="AW178" s="39"/>
    </row>
    <row r="179" spans="1:49" s="48" customFormat="1" ht="12.75" customHeight="1" x14ac:dyDescent="0.25">
      <c r="A179" s="33" t="s">
        <v>484</v>
      </c>
      <c r="B179" s="51" t="s">
        <v>512</v>
      </c>
      <c r="C179" s="35" t="s">
        <v>513</v>
      </c>
      <c r="D179" s="53" t="s">
        <v>514</v>
      </c>
      <c r="E179" s="37" t="s">
        <v>54</v>
      </c>
      <c r="F179" s="38" t="s">
        <v>55</v>
      </c>
      <c r="G179" s="84"/>
      <c r="H179" s="40" t="s">
        <v>515</v>
      </c>
      <c r="I179" s="42"/>
      <c r="J179" s="39">
        <v>10</v>
      </c>
      <c r="K179" s="42">
        <v>140.10846774193547</v>
      </c>
      <c r="L179" s="42">
        <v>1401.0846774193546</v>
      </c>
      <c r="M179" s="50"/>
      <c r="N179" s="39"/>
      <c r="O179" s="39"/>
      <c r="P179" s="42">
        <v>0</v>
      </c>
      <c r="Q179" s="52"/>
      <c r="S179" s="39"/>
      <c r="T179" s="39"/>
      <c r="U179" s="39"/>
      <c r="V179" s="39"/>
      <c r="W179" s="39"/>
      <c r="X179" s="39"/>
      <c r="Y179" s="39"/>
      <c r="Z179" s="39"/>
      <c r="AA179" s="39"/>
      <c r="AB179" s="39"/>
      <c r="AC179" s="39"/>
      <c r="AD179" s="39"/>
      <c r="AE179" s="39"/>
      <c r="AF179" s="39"/>
      <c r="AG179" s="39"/>
      <c r="AH179" s="39"/>
      <c r="AI179" s="39"/>
      <c r="AJ179" s="39"/>
      <c r="AK179" s="39"/>
      <c r="AL179" s="39"/>
      <c r="AM179" s="39"/>
      <c r="AN179" s="39"/>
      <c r="AO179" s="39"/>
      <c r="AP179" s="39"/>
      <c r="AQ179" s="39"/>
      <c r="AR179" s="39"/>
      <c r="AS179" s="39"/>
      <c r="AT179" s="39"/>
      <c r="AU179" s="39"/>
      <c r="AV179" s="39"/>
      <c r="AW179" s="39"/>
    </row>
    <row r="180" spans="1:49" s="48" customFormat="1" ht="12.75" customHeight="1" x14ac:dyDescent="0.25">
      <c r="A180" s="33" t="s">
        <v>484</v>
      </c>
      <c r="B180" s="51" t="s">
        <v>516</v>
      </c>
      <c r="C180" s="35" t="s">
        <v>517</v>
      </c>
      <c r="D180" s="102" t="s">
        <v>518</v>
      </c>
      <c r="E180" s="37" t="s">
        <v>54</v>
      </c>
      <c r="F180" s="38" t="s">
        <v>55</v>
      </c>
      <c r="G180" s="84"/>
      <c r="H180" s="40" t="s">
        <v>56</v>
      </c>
      <c r="I180" s="42"/>
      <c r="J180" s="39">
        <v>12</v>
      </c>
      <c r="K180" s="42">
        <v>140.10846774193547</v>
      </c>
      <c r="L180" s="42">
        <v>1681.3016129032258</v>
      </c>
      <c r="M180" s="50"/>
      <c r="N180" s="39"/>
      <c r="O180" s="39"/>
      <c r="P180" s="42">
        <v>0</v>
      </c>
      <c r="Q180" s="52"/>
      <c r="S180" s="39"/>
      <c r="T180" s="39"/>
      <c r="U180" s="39"/>
      <c r="V180" s="39"/>
      <c r="W180" s="39"/>
      <c r="X180" s="39"/>
      <c r="Y180" s="39"/>
      <c r="Z180" s="39"/>
      <c r="AA180" s="39"/>
      <c r="AB180" s="39"/>
      <c r="AC180" s="39"/>
      <c r="AD180" s="39"/>
      <c r="AE180" s="39"/>
      <c r="AF180" s="39"/>
      <c r="AG180" s="39"/>
      <c r="AH180" s="39"/>
      <c r="AI180" s="39"/>
      <c r="AJ180" s="39"/>
      <c r="AK180" s="39"/>
      <c r="AL180" s="39"/>
      <c r="AM180" s="39"/>
      <c r="AN180" s="39"/>
      <c r="AO180" s="39"/>
      <c r="AP180" s="39"/>
      <c r="AQ180" s="39"/>
      <c r="AR180" s="39"/>
      <c r="AS180" s="39"/>
      <c r="AT180" s="39"/>
      <c r="AU180" s="39"/>
      <c r="AV180" s="39"/>
      <c r="AW180" s="39"/>
    </row>
    <row r="181" spans="1:49" s="48" customFormat="1" ht="12.75" customHeight="1" x14ac:dyDescent="0.25">
      <c r="A181" s="33" t="s">
        <v>484</v>
      </c>
      <c r="B181" s="51" t="s">
        <v>519</v>
      </c>
      <c r="C181" s="35" t="s">
        <v>520</v>
      </c>
      <c r="D181" s="53" t="s">
        <v>521</v>
      </c>
      <c r="E181" s="37" t="s">
        <v>54</v>
      </c>
      <c r="F181" s="38" t="s">
        <v>55</v>
      </c>
      <c r="G181" s="84"/>
      <c r="H181" s="40" t="s">
        <v>56</v>
      </c>
      <c r="I181" s="42"/>
      <c r="J181" s="39">
        <v>18</v>
      </c>
      <c r="K181" s="42">
        <v>140.10846774193547</v>
      </c>
      <c r="L181" s="42">
        <v>2521.9524193548386</v>
      </c>
      <c r="M181" s="50"/>
      <c r="N181" s="39"/>
      <c r="O181" s="39"/>
      <c r="P181" s="42">
        <v>0</v>
      </c>
      <c r="Q181" s="52"/>
      <c r="S181" s="39"/>
      <c r="T181" s="39"/>
      <c r="U181" s="39"/>
      <c r="V181" s="39"/>
      <c r="W181" s="39"/>
      <c r="X181" s="39"/>
      <c r="Y181" s="39"/>
      <c r="Z181" s="39"/>
      <c r="AA181" s="39"/>
      <c r="AB181" s="39"/>
      <c r="AC181" s="39"/>
      <c r="AD181" s="39"/>
      <c r="AE181" s="39"/>
      <c r="AF181" s="39"/>
      <c r="AG181" s="39"/>
      <c r="AH181" s="39"/>
      <c r="AI181" s="39"/>
      <c r="AJ181" s="39"/>
      <c r="AK181" s="39"/>
      <c r="AL181" s="39"/>
      <c r="AM181" s="39"/>
      <c r="AN181" s="39"/>
      <c r="AO181" s="39"/>
      <c r="AP181" s="39"/>
      <c r="AQ181" s="39"/>
      <c r="AR181" s="39"/>
      <c r="AS181" s="39"/>
      <c r="AT181" s="39"/>
      <c r="AU181" s="39"/>
      <c r="AV181" s="39"/>
      <c r="AW181" s="39"/>
    </row>
    <row r="182" spans="1:49" s="48" customFormat="1" ht="12.75" customHeight="1" x14ac:dyDescent="0.25">
      <c r="A182" s="33" t="s">
        <v>484</v>
      </c>
      <c r="B182" s="51" t="s">
        <v>522</v>
      </c>
      <c r="C182" s="35" t="s">
        <v>523</v>
      </c>
      <c r="D182" s="102" t="s">
        <v>524</v>
      </c>
      <c r="E182" s="37" t="s">
        <v>54</v>
      </c>
      <c r="F182" s="38" t="s">
        <v>55</v>
      </c>
      <c r="G182" s="84"/>
      <c r="H182" s="40" t="s">
        <v>56</v>
      </c>
      <c r="I182" s="42"/>
      <c r="J182" s="39">
        <v>12</v>
      </c>
      <c r="K182" s="42">
        <v>140.10846774193547</v>
      </c>
      <c r="L182" s="42">
        <v>1681.3016129032258</v>
      </c>
      <c r="M182" s="50"/>
      <c r="N182" s="39"/>
      <c r="O182" s="39"/>
      <c r="P182" s="42">
        <v>0</v>
      </c>
      <c r="Q182" s="52"/>
      <c r="S182" s="39"/>
      <c r="T182" s="39"/>
      <c r="U182" s="39"/>
      <c r="V182" s="39"/>
      <c r="W182" s="39"/>
      <c r="X182" s="39"/>
      <c r="Y182" s="39"/>
      <c r="Z182" s="39"/>
      <c r="AA182" s="39"/>
      <c r="AB182" s="39"/>
      <c r="AC182" s="39"/>
      <c r="AD182" s="39"/>
      <c r="AE182" s="39"/>
      <c r="AF182" s="39"/>
      <c r="AG182" s="39"/>
      <c r="AH182" s="39"/>
      <c r="AI182" s="39"/>
      <c r="AJ182" s="39"/>
      <c r="AK182" s="39"/>
      <c r="AL182" s="39"/>
      <c r="AM182" s="39"/>
      <c r="AN182" s="39"/>
      <c r="AO182" s="39"/>
      <c r="AP182" s="39"/>
      <c r="AQ182" s="39"/>
      <c r="AR182" s="39"/>
      <c r="AS182" s="39"/>
      <c r="AT182" s="39"/>
      <c r="AU182" s="39"/>
      <c r="AV182" s="39"/>
      <c r="AW182" s="39"/>
    </row>
    <row r="183" spans="1:49" s="48" customFormat="1" ht="12.75" customHeight="1" x14ac:dyDescent="0.25">
      <c r="A183" s="33" t="s">
        <v>484</v>
      </c>
      <c r="B183" s="51" t="s">
        <v>525</v>
      </c>
      <c r="C183" s="35" t="s">
        <v>526</v>
      </c>
      <c r="D183" s="53" t="s">
        <v>527</v>
      </c>
      <c r="E183" s="37" t="s">
        <v>54</v>
      </c>
      <c r="F183" s="38" t="s">
        <v>55</v>
      </c>
      <c r="G183" s="84"/>
      <c r="H183" s="40" t="s">
        <v>56</v>
      </c>
      <c r="I183" s="42"/>
      <c r="J183" s="39">
        <v>45</v>
      </c>
      <c r="K183" s="42">
        <v>140.10846774193547</v>
      </c>
      <c r="L183" s="42">
        <v>6304.8810483870966</v>
      </c>
      <c r="M183" s="50"/>
      <c r="N183" s="39"/>
      <c r="O183" s="39"/>
      <c r="P183" s="42">
        <v>0</v>
      </c>
      <c r="Q183" s="52"/>
      <c r="S183" s="39"/>
      <c r="T183" s="39"/>
      <c r="U183" s="39"/>
      <c r="V183" s="39"/>
      <c r="W183" s="39"/>
      <c r="X183" s="39"/>
      <c r="Y183" s="39"/>
      <c r="Z183" s="39"/>
      <c r="AA183" s="39"/>
      <c r="AB183" s="39"/>
      <c r="AC183" s="39"/>
      <c r="AD183" s="39"/>
      <c r="AE183" s="39"/>
      <c r="AF183" s="39"/>
      <c r="AG183" s="39"/>
      <c r="AH183" s="39"/>
      <c r="AI183" s="39"/>
      <c r="AJ183" s="39"/>
      <c r="AK183" s="39"/>
      <c r="AL183" s="39"/>
      <c r="AM183" s="39"/>
      <c r="AN183" s="39"/>
      <c r="AO183" s="39"/>
      <c r="AP183" s="39"/>
      <c r="AQ183" s="39"/>
      <c r="AR183" s="39"/>
      <c r="AS183" s="39"/>
      <c r="AT183" s="39"/>
      <c r="AU183" s="39"/>
      <c r="AV183" s="39"/>
      <c r="AW183" s="39"/>
    </row>
    <row r="184" spans="1:49" s="48" customFormat="1" ht="12.75" customHeight="1" x14ac:dyDescent="0.25">
      <c r="A184" s="33" t="s">
        <v>484</v>
      </c>
      <c r="B184" s="51" t="s">
        <v>528</v>
      </c>
      <c r="C184" s="35" t="s">
        <v>529</v>
      </c>
      <c r="D184" s="53" t="s">
        <v>530</v>
      </c>
      <c r="E184" s="37" t="s">
        <v>54</v>
      </c>
      <c r="F184" s="38" t="s">
        <v>55</v>
      </c>
      <c r="G184" s="84"/>
      <c r="H184" s="40" t="s">
        <v>56</v>
      </c>
      <c r="I184" s="42"/>
      <c r="J184" s="39">
        <v>50</v>
      </c>
      <c r="K184" s="42">
        <v>140.10846774193547</v>
      </c>
      <c r="L184" s="42">
        <v>7005.4233870967737</v>
      </c>
      <c r="M184" s="50"/>
      <c r="N184" s="39"/>
      <c r="O184" s="39"/>
      <c r="P184" s="42">
        <v>0</v>
      </c>
      <c r="Q184" s="52"/>
      <c r="S184" s="39"/>
      <c r="T184" s="39"/>
      <c r="U184" s="39"/>
      <c r="V184" s="39"/>
      <c r="W184" s="39"/>
      <c r="X184" s="39"/>
      <c r="Y184" s="39"/>
      <c r="Z184" s="39"/>
      <c r="AA184" s="39"/>
      <c r="AB184" s="39"/>
      <c r="AC184" s="39"/>
      <c r="AD184" s="39"/>
      <c r="AE184" s="39"/>
      <c r="AF184" s="39"/>
      <c r="AG184" s="39"/>
      <c r="AH184" s="39"/>
      <c r="AI184" s="39"/>
      <c r="AJ184" s="39"/>
      <c r="AK184" s="39"/>
      <c r="AL184" s="39"/>
      <c r="AM184" s="39"/>
      <c r="AN184" s="39"/>
      <c r="AO184" s="39"/>
      <c r="AP184" s="39"/>
      <c r="AQ184" s="39"/>
      <c r="AR184" s="39"/>
      <c r="AS184" s="39"/>
      <c r="AT184" s="39"/>
      <c r="AU184" s="39"/>
      <c r="AV184" s="39"/>
      <c r="AW184" s="39"/>
    </row>
    <row r="185" spans="1:49" s="48" customFormat="1" ht="12.75" customHeight="1" x14ac:dyDescent="0.25">
      <c r="A185" s="33" t="s">
        <v>484</v>
      </c>
      <c r="B185" s="51" t="s">
        <v>531</v>
      </c>
      <c r="C185" s="35" t="s">
        <v>532</v>
      </c>
      <c r="D185" s="102" t="s">
        <v>533</v>
      </c>
      <c r="E185" s="37" t="s">
        <v>54</v>
      </c>
      <c r="F185" s="38" t="s">
        <v>55</v>
      </c>
      <c r="G185" s="84"/>
      <c r="H185" s="40" t="s">
        <v>56</v>
      </c>
      <c r="I185" s="42"/>
      <c r="J185" s="39">
        <v>42</v>
      </c>
      <c r="K185" s="42">
        <v>140.10846774193547</v>
      </c>
      <c r="L185" s="42">
        <v>5884.5556451612902</v>
      </c>
      <c r="M185" s="50"/>
      <c r="N185" s="39"/>
      <c r="O185" s="39"/>
      <c r="P185" s="42">
        <v>0</v>
      </c>
      <c r="Q185" s="52"/>
      <c r="S185" s="39"/>
      <c r="T185" s="39"/>
      <c r="U185" s="39"/>
      <c r="V185" s="39"/>
      <c r="W185" s="39"/>
      <c r="X185" s="39"/>
      <c r="Y185" s="39"/>
      <c r="Z185" s="39"/>
      <c r="AA185" s="39"/>
      <c r="AB185" s="39"/>
      <c r="AC185" s="39"/>
      <c r="AD185" s="39"/>
      <c r="AE185" s="39"/>
      <c r="AF185" s="39"/>
      <c r="AG185" s="39"/>
      <c r="AH185" s="39"/>
      <c r="AI185" s="39"/>
      <c r="AJ185" s="39"/>
      <c r="AK185" s="39"/>
      <c r="AL185" s="39"/>
      <c r="AM185" s="39"/>
      <c r="AN185" s="39"/>
      <c r="AO185" s="39"/>
      <c r="AP185" s="39"/>
      <c r="AQ185" s="39"/>
      <c r="AR185" s="39"/>
      <c r="AS185" s="39"/>
      <c r="AT185" s="39"/>
      <c r="AU185" s="39"/>
      <c r="AV185" s="39"/>
      <c r="AW185" s="39"/>
    </row>
    <row r="186" spans="1:49" s="48" customFormat="1" ht="12.75" customHeight="1" x14ac:dyDescent="0.25">
      <c r="A186" s="33" t="s">
        <v>484</v>
      </c>
      <c r="B186" s="51" t="s">
        <v>534</v>
      </c>
      <c r="C186" s="35" t="s">
        <v>535</v>
      </c>
      <c r="D186" s="102" t="s">
        <v>536</v>
      </c>
      <c r="E186" s="37" t="s">
        <v>54</v>
      </c>
      <c r="F186" s="38" t="s">
        <v>55</v>
      </c>
      <c r="G186" s="84"/>
      <c r="H186" s="40" t="s">
        <v>56</v>
      </c>
      <c r="I186" s="42"/>
      <c r="J186" s="39">
        <v>20</v>
      </c>
      <c r="K186" s="42">
        <v>140.10846774193547</v>
      </c>
      <c r="L186" s="42">
        <v>2802.1693548387093</v>
      </c>
      <c r="M186" s="50"/>
      <c r="N186" s="39"/>
      <c r="O186" s="39"/>
      <c r="P186" s="42">
        <v>0</v>
      </c>
      <c r="Q186" s="52"/>
      <c r="S186" s="39"/>
      <c r="T186" s="39"/>
      <c r="U186" s="39"/>
      <c r="V186" s="39"/>
      <c r="W186" s="39"/>
      <c r="X186" s="39"/>
      <c r="Y186" s="39"/>
      <c r="Z186" s="39"/>
      <c r="AA186" s="39"/>
      <c r="AB186" s="39"/>
      <c r="AC186" s="39"/>
      <c r="AD186" s="39"/>
      <c r="AE186" s="39"/>
      <c r="AF186" s="39"/>
      <c r="AG186" s="39"/>
      <c r="AH186" s="39"/>
      <c r="AI186" s="39"/>
      <c r="AJ186" s="39"/>
      <c r="AK186" s="39"/>
      <c r="AL186" s="39"/>
      <c r="AM186" s="39"/>
      <c r="AN186" s="39"/>
      <c r="AO186" s="39"/>
      <c r="AP186" s="39"/>
      <c r="AQ186" s="39"/>
      <c r="AR186" s="39"/>
      <c r="AS186" s="39"/>
      <c r="AT186" s="39"/>
      <c r="AU186" s="39"/>
      <c r="AV186" s="39"/>
      <c r="AW186" s="39"/>
    </row>
    <row r="187" spans="1:49" s="48" customFormat="1" ht="12.75" customHeight="1" x14ac:dyDescent="0.25">
      <c r="A187" s="33" t="s">
        <v>484</v>
      </c>
      <c r="B187" s="51" t="s">
        <v>537</v>
      </c>
      <c r="C187" s="35" t="s">
        <v>538</v>
      </c>
      <c r="D187" s="102" t="s">
        <v>539</v>
      </c>
      <c r="E187" s="37" t="s">
        <v>54</v>
      </c>
      <c r="F187" s="38" t="s">
        <v>55</v>
      </c>
      <c r="G187" s="84"/>
      <c r="H187" s="40" t="s">
        <v>56</v>
      </c>
      <c r="I187" s="42"/>
      <c r="J187" s="39">
        <v>18</v>
      </c>
      <c r="K187" s="42">
        <v>140.10846774193547</v>
      </c>
      <c r="L187" s="42">
        <v>2521.9524193548386</v>
      </c>
      <c r="M187" s="50"/>
      <c r="N187" s="39"/>
      <c r="O187" s="39"/>
      <c r="P187" s="42">
        <v>0</v>
      </c>
      <c r="Q187" s="52"/>
      <c r="S187" s="39"/>
      <c r="T187" s="39"/>
      <c r="U187" s="39"/>
      <c r="V187" s="39"/>
      <c r="W187" s="39"/>
      <c r="X187" s="39"/>
      <c r="Y187" s="39"/>
      <c r="Z187" s="39"/>
      <c r="AA187" s="39"/>
      <c r="AB187" s="39"/>
      <c r="AC187" s="39"/>
      <c r="AD187" s="39"/>
      <c r="AE187" s="39"/>
      <c r="AF187" s="39"/>
      <c r="AG187" s="39"/>
      <c r="AH187" s="39"/>
      <c r="AI187" s="39"/>
      <c r="AJ187" s="39"/>
      <c r="AK187" s="39"/>
      <c r="AL187" s="39"/>
      <c r="AM187" s="39"/>
      <c r="AN187" s="39"/>
      <c r="AO187" s="39"/>
      <c r="AP187" s="39"/>
      <c r="AQ187" s="39"/>
      <c r="AR187" s="39"/>
      <c r="AS187" s="39"/>
      <c r="AT187" s="39"/>
      <c r="AU187" s="39"/>
      <c r="AV187" s="39"/>
      <c r="AW187" s="39"/>
    </row>
    <row r="188" spans="1:49" s="48" customFormat="1" ht="12.75" customHeight="1" x14ac:dyDescent="0.25">
      <c r="A188" s="33" t="s">
        <v>484</v>
      </c>
      <c r="B188" s="51" t="s">
        <v>540</v>
      </c>
      <c r="C188" s="35" t="s">
        <v>541</v>
      </c>
      <c r="D188" s="102" t="s">
        <v>542</v>
      </c>
      <c r="E188" s="37" t="s">
        <v>54</v>
      </c>
      <c r="F188" s="38" t="s">
        <v>55</v>
      </c>
      <c r="G188" s="84"/>
      <c r="H188" s="40" t="s">
        <v>56</v>
      </c>
      <c r="I188" s="42"/>
      <c r="J188" s="39">
        <v>40</v>
      </c>
      <c r="K188" s="42">
        <v>140.10846774193547</v>
      </c>
      <c r="L188" s="42">
        <v>5604.3387096774186</v>
      </c>
      <c r="M188" s="50"/>
      <c r="N188" s="39"/>
      <c r="O188" s="39"/>
      <c r="P188" s="42">
        <v>0</v>
      </c>
      <c r="Q188" s="52"/>
      <c r="S188" s="39"/>
      <c r="T188" s="39"/>
      <c r="U188" s="39"/>
      <c r="V188" s="39"/>
      <c r="W188" s="39"/>
      <c r="X188" s="39"/>
      <c r="Y188" s="39"/>
      <c r="Z188" s="39"/>
      <c r="AA188" s="39"/>
      <c r="AB188" s="39"/>
      <c r="AC188" s="39"/>
      <c r="AD188" s="39"/>
      <c r="AE188" s="39"/>
      <c r="AF188" s="39"/>
      <c r="AG188" s="39"/>
      <c r="AH188" s="39"/>
      <c r="AI188" s="39"/>
      <c r="AJ188" s="39"/>
      <c r="AK188" s="39"/>
      <c r="AL188" s="39"/>
      <c r="AM188" s="39"/>
      <c r="AN188" s="39"/>
      <c r="AO188" s="39"/>
      <c r="AP188" s="39"/>
      <c r="AQ188" s="39"/>
      <c r="AR188" s="39"/>
      <c r="AS188" s="39"/>
      <c r="AT188" s="39"/>
      <c r="AU188" s="39"/>
      <c r="AV188" s="39"/>
      <c r="AW188" s="39"/>
    </row>
    <row r="189" spans="1:49" s="48" customFormat="1" ht="12.75" customHeight="1" x14ac:dyDescent="0.25">
      <c r="A189" s="33" t="s">
        <v>484</v>
      </c>
      <c r="B189" s="51" t="s">
        <v>543</v>
      </c>
      <c r="C189" s="35" t="s">
        <v>544</v>
      </c>
      <c r="D189" s="104" t="s">
        <v>545</v>
      </c>
      <c r="E189" s="37" t="s">
        <v>54</v>
      </c>
      <c r="F189" s="38" t="s">
        <v>55</v>
      </c>
      <c r="G189" s="84"/>
      <c r="H189" s="40" t="s">
        <v>56</v>
      </c>
      <c r="I189" s="42"/>
      <c r="J189" s="39">
        <v>8</v>
      </c>
      <c r="K189" s="42">
        <v>140.10846774193547</v>
      </c>
      <c r="L189" s="42">
        <v>1120.8677419354838</v>
      </c>
      <c r="M189" s="50"/>
      <c r="N189" s="39"/>
      <c r="O189" s="39"/>
      <c r="P189" s="42">
        <v>0</v>
      </c>
      <c r="Q189" s="52"/>
      <c r="S189" s="39"/>
      <c r="T189" s="39"/>
      <c r="U189" s="39"/>
      <c r="V189" s="39"/>
      <c r="W189" s="39"/>
      <c r="X189" s="39"/>
      <c r="Y189" s="39"/>
      <c r="Z189" s="39"/>
      <c r="AA189" s="39"/>
      <c r="AB189" s="39"/>
      <c r="AC189" s="39"/>
      <c r="AD189" s="39"/>
      <c r="AE189" s="39"/>
      <c r="AF189" s="39"/>
      <c r="AG189" s="39"/>
      <c r="AH189" s="39"/>
      <c r="AI189" s="39"/>
      <c r="AJ189" s="39"/>
      <c r="AK189" s="39"/>
      <c r="AL189" s="39"/>
      <c r="AM189" s="39"/>
      <c r="AN189" s="39"/>
      <c r="AO189" s="39"/>
      <c r="AP189" s="39"/>
      <c r="AQ189" s="39"/>
      <c r="AR189" s="39"/>
      <c r="AS189" s="39"/>
      <c r="AT189" s="39"/>
      <c r="AU189" s="39"/>
      <c r="AV189" s="39"/>
      <c r="AW189" s="39"/>
    </row>
    <row r="190" spans="1:49" s="48" customFormat="1" ht="12.75" customHeight="1" x14ac:dyDescent="0.25">
      <c r="A190" s="33" t="s">
        <v>484</v>
      </c>
      <c r="B190" s="51" t="s">
        <v>546</v>
      </c>
      <c r="C190" s="35" t="s">
        <v>547</v>
      </c>
      <c r="D190" s="102" t="s">
        <v>548</v>
      </c>
      <c r="E190" s="37" t="s">
        <v>54</v>
      </c>
      <c r="F190" s="38" t="s">
        <v>55</v>
      </c>
      <c r="G190" s="84"/>
      <c r="H190" s="40" t="s">
        <v>56</v>
      </c>
      <c r="I190" s="42"/>
      <c r="J190" s="39">
        <v>12</v>
      </c>
      <c r="K190" s="42">
        <v>140.10846774193547</v>
      </c>
      <c r="L190" s="42">
        <v>1681.3016129032258</v>
      </c>
      <c r="M190" s="50"/>
      <c r="N190" s="39"/>
      <c r="O190" s="39"/>
      <c r="P190" s="42">
        <v>0</v>
      </c>
      <c r="Q190" s="52"/>
      <c r="S190" s="39"/>
      <c r="T190" s="39"/>
      <c r="U190" s="39"/>
      <c r="V190" s="39"/>
      <c r="W190" s="39"/>
      <c r="X190" s="39"/>
      <c r="Y190" s="39"/>
      <c r="Z190" s="39"/>
      <c r="AA190" s="39"/>
      <c r="AB190" s="39"/>
      <c r="AC190" s="39"/>
      <c r="AD190" s="39"/>
      <c r="AE190" s="39"/>
      <c r="AF190" s="39"/>
      <c r="AG190" s="39"/>
      <c r="AH190" s="39"/>
      <c r="AI190" s="39"/>
      <c r="AJ190" s="39"/>
      <c r="AK190" s="39"/>
      <c r="AL190" s="39"/>
      <c r="AM190" s="39"/>
      <c r="AN190" s="39"/>
      <c r="AO190" s="39"/>
      <c r="AP190" s="39"/>
      <c r="AQ190" s="39"/>
      <c r="AR190" s="39"/>
      <c r="AS190" s="39"/>
      <c r="AT190" s="39"/>
      <c r="AU190" s="39"/>
      <c r="AV190" s="39"/>
      <c r="AW190" s="39"/>
    </row>
    <row r="191" spans="1:49" s="48" customFormat="1" ht="17.25" customHeight="1" x14ac:dyDescent="0.25">
      <c r="A191" s="33" t="s">
        <v>484</v>
      </c>
      <c r="B191" s="51" t="s">
        <v>549</v>
      </c>
      <c r="C191" s="35" t="s">
        <v>550</v>
      </c>
      <c r="D191" s="102" t="s">
        <v>551</v>
      </c>
      <c r="E191" s="37" t="s">
        <v>54</v>
      </c>
      <c r="F191" s="38" t="s">
        <v>55</v>
      </c>
      <c r="G191" s="84"/>
      <c r="H191" s="40" t="s">
        <v>56</v>
      </c>
      <c r="I191" s="42"/>
      <c r="J191" s="39">
        <v>40</v>
      </c>
      <c r="K191" s="42">
        <v>140.10846774193547</v>
      </c>
      <c r="L191" s="42">
        <v>5604.3387096774186</v>
      </c>
      <c r="M191" s="50"/>
      <c r="N191" s="39"/>
      <c r="O191" s="39"/>
      <c r="P191" s="42">
        <v>0</v>
      </c>
      <c r="Q191" s="52"/>
      <c r="S191" s="39"/>
      <c r="T191" s="39"/>
      <c r="U191" s="39"/>
      <c r="V191" s="39"/>
      <c r="W191" s="39"/>
      <c r="X191" s="39"/>
      <c r="Y191" s="39"/>
      <c r="Z191" s="39"/>
      <c r="AA191" s="39"/>
      <c r="AB191" s="39"/>
      <c r="AC191" s="39"/>
      <c r="AD191" s="39"/>
      <c r="AE191" s="39"/>
      <c r="AF191" s="39"/>
      <c r="AG191" s="39"/>
      <c r="AH191" s="39"/>
      <c r="AI191" s="39"/>
      <c r="AJ191" s="39"/>
      <c r="AK191" s="39"/>
      <c r="AL191" s="39"/>
      <c r="AM191" s="39"/>
      <c r="AN191" s="39"/>
      <c r="AO191" s="39"/>
      <c r="AP191" s="39"/>
      <c r="AQ191" s="39"/>
      <c r="AR191" s="39"/>
      <c r="AS191" s="39"/>
      <c r="AT191" s="39"/>
      <c r="AU191" s="39"/>
      <c r="AV191" s="39"/>
      <c r="AW191" s="39"/>
    </row>
    <row r="192" spans="1:49" s="48" customFormat="1" ht="12.75" customHeight="1" x14ac:dyDescent="0.25">
      <c r="A192" s="33" t="s">
        <v>484</v>
      </c>
      <c r="B192" s="51" t="s">
        <v>552</v>
      </c>
      <c r="C192" s="35" t="s">
        <v>553</v>
      </c>
      <c r="D192" s="102" t="s">
        <v>554</v>
      </c>
      <c r="E192" s="37" t="s">
        <v>54</v>
      </c>
      <c r="F192" s="38" t="s">
        <v>55</v>
      </c>
      <c r="G192" s="84"/>
      <c r="H192" s="40" t="s">
        <v>56</v>
      </c>
      <c r="I192" s="42"/>
      <c r="J192" s="39">
        <v>8</v>
      </c>
      <c r="K192" s="42">
        <v>140.10846774193547</v>
      </c>
      <c r="L192" s="42">
        <v>1120.8677419354838</v>
      </c>
      <c r="M192" s="50"/>
      <c r="N192" s="39"/>
      <c r="O192" s="39"/>
      <c r="P192" s="42">
        <v>0</v>
      </c>
      <c r="Q192" s="52"/>
      <c r="S192" s="39"/>
      <c r="T192" s="39"/>
      <c r="U192" s="39"/>
      <c r="V192" s="39"/>
      <c r="W192" s="39"/>
      <c r="X192" s="39"/>
      <c r="Y192" s="39"/>
      <c r="Z192" s="39"/>
      <c r="AA192" s="39"/>
      <c r="AB192" s="39"/>
      <c r="AC192" s="39"/>
      <c r="AD192" s="39"/>
      <c r="AE192" s="39"/>
      <c r="AF192" s="39"/>
      <c r="AG192" s="39"/>
      <c r="AH192" s="39"/>
      <c r="AI192" s="39"/>
      <c r="AJ192" s="39"/>
      <c r="AK192" s="39"/>
      <c r="AL192" s="39"/>
      <c r="AM192" s="39"/>
      <c r="AN192" s="39"/>
      <c r="AO192" s="39"/>
      <c r="AP192" s="39"/>
      <c r="AQ192" s="39"/>
      <c r="AR192" s="39"/>
      <c r="AS192" s="39"/>
      <c r="AT192" s="39"/>
      <c r="AU192" s="39"/>
      <c r="AV192" s="39"/>
      <c r="AW192" s="39"/>
    </row>
    <row r="193" spans="1:49" s="48" customFormat="1" ht="12.75" customHeight="1" x14ac:dyDescent="0.25">
      <c r="A193" s="33" t="s">
        <v>484</v>
      </c>
      <c r="B193" s="51" t="s">
        <v>555</v>
      </c>
      <c r="C193" s="35" t="s">
        <v>556</v>
      </c>
      <c r="D193" s="102" t="s">
        <v>557</v>
      </c>
      <c r="E193" s="37" t="s">
        <v>54</v>
      </c>
      <c r="F193" s="38" t="s">
        <v>55</v>
      </c>
      <c r="G193" s="84"/>
      <c r="H193" s="40" t="s">
        <v>56</v>
      </c>
      <c r="I193" s="42"/>
      <c r="J193" s="39">
        <v>14</v>
      </c>
      <c r="K193" s="42">
        <v>140.10846774193547</v>
      </c>
      <c r="L193" s="42">
        <v>1961.5185483870966</v>
      </c>
      <c r="M193" s="50"/>
      <c r="N193" s="39"/>
      <c r="O193" s="39"/>
      <c r="P193" s="42">
        <v>0</v>
      </c>
      <c r="Q193" s="52"/>
      <c r="S193" s="39"/>
      <c r="T193" s="39"/>
      <c r="U193" s="39"/>
      <c r="V193" s="39"/>
      <c r="W193" s="39"/>
      <c r="X193" s="39"/>
      <c r="Y193" s="39"/>
      <c r="Z193" s="39"/>
      <c r="AA193" s="39"/>
      <c r="AB193" s="39"/>
      <c r="AC193" s="39"/>
      <c r="AD193" s="39"/>
      <c r="AE193" s="39"/>
      <c r="AF193" s="39"/>
      <c r="AG193" s="39"/>
      <c r="AH193" s="39"/>
      <c r="AI193" s="39"/>
      <c r="AJ193" s="39"/>
      <c r="AK193" s="39"/>
      <c r="AL193" s="39"/>
      <c r="AM193" s="39"/>
      <c r="AN193" s="39"/>
      <c r="AO193" s="39"/>
      <c r="AP193" s="39"/>
      <c r="AQ193" s="39"/>
      <c r="AR193" s="39"/>
      <c r="AS193" s="39"/>
      <c r="AT193" s="39"/>
      <c r="AU193" s="39"/>
      <c r="AV193" s="39"/>
      <c r="AW193" s="39"/>
    </row>
    <row r="194" spans="1:49" s="48" customFormat="1" ht="33.75" x14ac:dyDescent="0.25">
      <c r="A194" s="33" t="s">
        <v>484</v>
      </c>
      <c r="B194" s="51" t="s">
        <v>558</v>
      </c>
      <c r="C194" s="35" t="s">
        <v>559</v>
      </c>
      <c r="D194" s="104" t="s">
        <v>560</v>
      </c>
      <c r="E194" s="37" t="s">
        <v>54</v>
      </c>
      <c r="F194" s="38" t="s">
        <v>55</v>
      </c>
      <c r="G194" s="84"/>
      <c r="H194" s="96" t="s">
        <v>561</v>
      </c>
      <c r="I194" s="42"/>
      <c r="J194" s="39"/>
      <c r="K194" s="42">
        <v>140.10846774193547</v>
      </c>
      <c r="L194" s="42">
        <v>0</v>
      </c>
      <c r="M194" s="50"/>
      <c r="N194" s="39"/>
      <c r="O194" s="39"/>
      <c r="P194" s="42">
        <v>0</v>
      </c>
      <c r="Q194" s="52"/>
      <c r="S194" s="39"/>
      <c r="T194" s="39"/>
      <c r="U194" s="39"/>
      <c r="V194" s="39"/>
      <c r="W194" s="39"/>
      <c r="X194" s="39"/>
      <c r="Y194" s="39"/>
      <c r="Z194" s="39"/>
      <c r="AA194" s="39"/>
      <c r="AB194" s="39"/>
      <c r="AC194" s="39"/>
      <c r="AD194" s="39"/>
      <c r="AE194" s="39"/>
      <c r="AF194" s="39"/>
      <c r="AG194" s="39"/>
      <c r="AH194" s="39"/>
      <c r="AI194" s="39"/>
      <c r="AJ194" s="39"/>
      <c r="AK194" s="39"/>
      <c r="AL194" s="39"/>
      <c r="AM194" s="39"/>
      <c r="AN194" s="39"/>
      <c r="AO194" s="39"/>
      <c r="AP194" s="39"/>
      <c r="AQ194" s="39"/>
      <c r="AR194" s="39"/>
      <c r="AS194" s="39"/>
      <c r="AT194" s="39"/>
      <c r="AU194" s="39"/>
      <c r="AV194" s="39"/>
      <c r="AW194" s="39"/>
    </row>
    <row r="195" spans="1:49" s="48" customFormat="1" ht="12.75" customHeight="1" x14ac:dyDescent="0.25">
      <c r="A195" s="33" t="s">
        <v>484</v>
      </c>
      <c r="B195" s="51" t="s">
        <v>562</v>
      </c>
      <c r="C195" s="35" t="s">
        <v>563</v>
      </c>
      <c r="D195" s="102" t="s">
        <v>564</v>
      </c>
      <c r="E195" s="37" t="s">
        <v>54</v>
      </c>
      <c r="F195" s="38" t="s">
        <v>55</v>
      </c>
      <c r="G195" s="84"/>
      <c r="H195" s="40" t="s">
        <v>56</v>
      </c>
      <c r="I195" s="42"/>
      <c r="J195" s="39">
        <v>12</v>
      </c>
      <c r="K195" s="42">
        <v>140.10846774193547</v>
      </c>
      <c r="L195" s="42">
        <v>1681.3016129032258</v>
      </c>
      <c r="M195" s="50"/>
      <c r="N195" s="39"/>
      <c r="O195" s="39"/>
      <c r="P195" s="42">
        <v>0</v>
      </c>
      <c r="Q195" s="52"/>
      <c r="S195" s="39"/>
      <c r="T195" s="39"/>
      <c r="U195" s="39"/>
      <c r="V195" s="39"/>
      <c r="W195" s="39"/>
      <c r="X195" s="39"/>
      <c r="Y195" s="39"/>
      <c r="Z195" s="39"/>
      <c r="AA195" s="39"/>
      <c r="AB195" s="39"/>
      <c r="AC195" s="39"/>
      <c r="AD195" s="39"/>
      <c r="AE195" s="39"/>
      <c r="AF195" s="39"/>
      <c r="AG195" s="39"/>
      <c r="AH195" s="39"/>
      <c r="AI195" s="39"/>
      <c r="AJ195" s="39"/>
      <c r="AK195" s="39"/>
      <c r="AL195" s="39"/>
      <c r="AM195" s="39"/>
      <c r="AN195" s="39"/>
      <c r="AO195" s="39"/>
      <c r="AP195" s="39"/>
      <c r="AQ195" s="39"/>
      <c r="AR195" s="39"/>
      <c r="AS195" s="39"/>
      <c r="AT195" s="39"/>
      <c r="AU195" s="39"/>
      <c r="AV195" s="39"/>
      <c r="AW195" s="39"/>
    </row>
    <row r="196" spans="1:49" s="64" customFormat="1" ht="12.75" customHeight="1" x14ac:dyDescent="0.25">
      <c r="A196" s="14" t="s">
        <v>484</v>
      </c>
      <c r="B196" s="15">
        <v>28243979</v>
      </c>
      <c r="C196" s="56" t="s">
        <v>565</v>
      </c>
      <c r="D196" s="80" t="s">
        <v>566</v>
      </c>
      <c r="E196" s="18" t="s">
        <v>958</v>
      </c>
      <c r="F196" s="58"/>
      <c r="G196" s="87"/>
      <c r="H196" s="87"/>
      <c r="I196" s="42"/>
      <c r="J196" s="20">
        <f>SUM(J197:J204)</f>
        <v>207</v>
      </c>
      <c r="K196" s="20">
        <v>140.10846774193499</v>
      </c>
      <c r="L196" s="22">
        <f>SUM(L197:L204)</f>
        <v>29002.452822580643</v>
      </c>
      <c r="M196" s="88"/>
      <c r="N196" s="65"/>
      <c r="O196" s="65"/>
      <c r="P196" s="62"/>
      <c r="R196" s="48"/>
      <c r="S196" s="65"/>
      <c r="T196" s="65"/>
      <c r="U196" s="65"/>
      <c r="V196" s="65"/>
      <c r="W196" s="65"/>
      <c r="X196" s="65"/>
      <c r="Y196" s="65"/>
      <c r="Z196" s="65"/>
      <c r="AA196" s="65"/>
      <c r="AB196" s="65"/>
      <c r="AC196" s="65"/>
      <c r="AD196" s="65"/>
      <c r="AE196" s="65"/>
      <c r="AF196" s="65"/>
      <c r="AG196" s="65"/>
      <c r="AH196" s="65"/>
      <c r="AI196" s="65"/>
      <c r="AJ196" s="65"/>
      <c r="AK196" s="65"/>
      <c r="AL196" s="65"/>
      <c r="AM196" s="65"/>
      <c r="AN196" s="65"/>
      <c r="AO196" s="65"/>
      <c r="AP196" s="65"/>
      <c r="AQ196" s="65"/>
      <c r="AR196" s="65"/>
      <c r="AS196" s="65"/>
      <c r="AT196" s="65"/>
      <c r="AU196" s="65"/>
      <c r="AV196" s="65"/>
      <c r="AW196" s="65"/>
    </row>
    <row r="197" spans="1:49" s="48" customFormat="1" ht="12.75" customHeight="1" x14ac:dyDescent="0.25">
      <c r="A197" s="33"/>
      <c r="B197" s="54"/>
      <c r="C197" s="35" t="s">
        <v>567</v>
      </c>
      <c r="D197" s="103" t="s">
        <v>568</v>
      </c>
      <c r="E197" s="37" t="s">
        <v>54</v>
      </c>
      <c r="F197" s="38" t="s">
        <v>55</v>
      </c>
      <c r="G197" s="84"/>
      <c r="H197" s="40" t="s">
        <v>56</v>
      </c>
      <c r="I197" s="42"/>
      <c r="J197" s="39"/>
      <c r="K197" s="42">
        <v>140.10846774193547</v>
      </c>
      <c r="L197" s="42">
        <v>0</v>
      </c>
      <c r="M197" s="50"/>
      <c r="N197" s="39"/>
      <c r="O197" s="39"/>
      <c r="P197" s="42">
        <v>0</v>
      </c>
      <c r="Q197" s="52"/>
      <c r="S197" s="39"/>
      <c r="T197" s="39"/>
      <c r="U197" s="39"/>
      <c r="V197" s="39"/>
      <c r="W197" s="39"/>
      <c r="X197" s="39"/>
      <c r="Y197" s="39"/>
      <c r="Z197" s="39"/>
      <c r="AA197" s="39"/>
      <c r="AB197" s="39"/>
      <c r="AC197" s="39"/>
      <c r="AD197" s="39"/>
      <c r="AE197" s="39"/>
      <c r="AF197" s="39"/>
      <c r="AG197" s="39"/>
      <c r="AH197" s="39"/>
      <c r="AI197" s="39"/>
      <c r="AJ197" s="39"/>
      <c r="AK197" s="39"/>
      <c r="AL197" s="39"/>
      <c r="AM197" s="39"/>
      <c r="AN197" s="39"/>
      <c r="AO197" s="39"/>
      <c r="AP197" s="39"/>
      <c r="AQ197" s="39"/>
      <c r="AR197" s="39"/>
      <c r="AS197" s="39"/>
      <c r="AT197" s="39"/>
      <c r="AU197" s="39"/>
      <c r="AV197" s="39"/>
      <c r="AW197" s="39"/>
    </row>
    <row r="198" spans="1:49" s="48" customFormat="1" ht="12.75" customHeight="1" x14ac:dyDescent="0.25">
      <c r="A198" s="33" t="s">
        <v>484</v>
      </c>
      <c r="B198" s="105" t="s">
        <v>569</v>
      </c>
      <c r="C198" s="35" t="s">
        <v>570</v>
      </c>
      <c r="D198" s="102" t="s">
        <v>571</v>
      </c>
      <c r="E198" s="37" t="s">
        <v>54</v>
      </c>
      <c r="F198" s="38" t="s">
        <v>55</v>
      </c>
      <c r="G198" s="84"/>
      <c r="H198" s="40" t="s">
        <v>56</v>
      </c>
      <c r="I198" s="42"/>
      <c r="J198" s="39">
        <v>40</v>
      </c>
      <c r="K198" s="42">
        <v>140.10846774193547</v>
      </c>
      <c r="L198" s="42">
        <v>5604.3387096774186</v>
      </c>
      <c r="M198" s="50"/>
      <c r="N198" s="39"/>
      <c r="O198" s="39"/>
      <c r="P198" s="42">
        <v>0</v>
      </c>
      <c r="Q198" s="52"/>
      <c r="S198" s="39"/>
      <c r="T198" s="39"/>
      <c r="U198" s="39"/>
      <c r="V198" s="39"/>
      <c r="W198" s="39"/>
      <c r="X198" s="39"/>
      <c r="Y198" s="39"/>
      <c r="Z198" s="39"/>
      <c r="AA198" s="39"/>
      <c r="AB198" s="39"/>
      <c r="AC198" s="39"/>
      <c r="AD198" s="39"/>
      <c r="AE198" s="39"/>
      <c r="AF198" s="39"/>
      <c r="AG198" s="39"/>
      <c r="AH198" s="39"/>
      <c r="AI198" s="39"/>
      <c r="AJ198" s="39"/>
      <c r="AK198" s="39"/>
      <c r="AL198" s="39"/>
      <c r="AM198" s="39"/>
      <c r="AN198" s="39"/>
      <c r="AO198" s="39"/>
      <c r="AP198" s="39"/>
      <c r="AQ198" s="39"/>
      <c r="AR198" s="39"/>
      <c r="AS198" s="39"/>
      <c r="AT198" s="39"/>
      <c r="AU198" s="39"/>
      <c r="AV198" s="39"/>
      <c r="AW198" s="39"/>
    </row>
    <row r="199" spans="1:49" s="48" customFormat="1" ht="12.75" customHeight="1" x14ac:dyDescent="0.25">
      <c r="A199" s="33" t="s">
        <v>484</v>
      </c>
      <c r="B199" s="51" t="s">
        <v>572</v>
      </c>
      <c r="C199" s="35" t="s">
        <v>573</v>
      </c>
      <c r="D199" s="102" t="s">
        <v>574</v>
      </c>
      <c r="E199" s="37" t="s">
        <v>54</v>
      </c>
      <c r="F199" s="38" t="s">
        <v>55</v>
      </c>
      <c r="G199" s="84"/>
      <c r="H199" s="40" t="s">
        <v>56</v>
      </c>
      <c r="I199" s="42"/>
      <c r="J199" s="39">
        <v>7</v>
      </c>
      <c r="K199" s="42">
        <v>140.10846774193547</v>
      </c>
      <c r="L199" s="42">
        <v>980.75927419354832</v>
      </c>
      <c r="M199" s="50"/>
      <c r="N199" s="39"/>
      <c r="O199" s="39"/>
      <c r="P199" s="42">
        <v>0</v>
      </c>
      <c r="Q199" s="52"/>
      <c r="S199" s="39"/>
      <c r="T199" s="39"/>
      <c r="U199" s="39"/>
      <c r="V199" s="39"/>
      <c r="W199" s="39"/>
      <c r="X199" s="39"/>
      <c r="Y199" s="39"/>
      <c r="Z199" s="39"/>
      <c r="AA199" s="39"/>
      <c r="AB199" s="39"/>
      <c r="AC199" s="39"/>
      <c r="AD199" s="39"/>
      <c r="AE199" s="39"/>
      <c r="AF199" s="39"/>
      <c r="AG199" s="39"/>
      <c r="AH199" s="39"/>
      <c r="AI199" s="39"/>
      <c r="AJ199" s="39"/>
      <c r="AK199" s="39"/>
      <c r="AL199" s="39"/>
      <c r="AM199" s="39"/>
      <c r="AN199" s="39"/>
      <c r="AO199" s="39"/>
      <c r="AP199" s="39"/>
      <c r="AQ199" s="39"/>
      <c r="AR199" s="39"/>
      <c r="AS199" s="39"/>
      <c r="AT199" s="39"/>
      <c r="AU199" s="39"/>
      <c r="AV199" s="39"/>
      <c r="AW199" s="39"/>
    </row>
    <row r="200" spans="1:49" s="48" customFormat="1" ht="12.75" customHeight="1" x14ac:dyDescent="0.25">
      <c r="A200" s="33" t="s">
        <v>484</v>
      </c>
      <c r="B200" s="51" t="s">
        <v>575</v>
      </c>
      <c r="C200" s="35" t="s">
        <v>576</v>
      </c>
      <c r="D200" s="102" t="s">
        <v>577</v>
      </c>
      <c r="E200" s="37" t="s">
        <v>54</v>
      </c>
      <c r="F200" s="38" t="s">
        <v>578</v>
      </c>
      <c r="G200" s="84"/>
      <c r="H200" s="40" t="s">
        <v>56</v>
      </c>
      <c r="I200" s="42"/>
      <c r="J200" s="39"/>
      <c r="K200" s="42">
        <v>140.10846774193547</v>
      </c>
      <c r="L200" s="42">
        <v>0</v>
      </c>
      <c r="M200" s="50"/>
      <c r="N200" s="39"/>
      <c r="O200" s="39"/>
      <c r="P200" s="42">
        <v>0</v>
      </c>
      <c r="Q200" s="52"/>
      <c r="S200" s="39"/>
      <c r="T200" s="39"/>
      <c r="U200" s="39"/>
      <c r="V200" s="39"/>
      <c r="W200" s="39"/>
      <c r="X200" s="39"/>
      <c r="Y200" s="39"/>
      <c r="Z200" s="39"/>
      <c r="AA200" s="39"/>
      <c r="AB200" s="39"/>
      <c r="AC200" s="39"/>
      <c r="AD200" s="39"/>
      <c r="AE200" s="39"/>
      <c r="AF200" s="39"/>
      <c r="AG200" s="39"/>
      <c r="AH200" s="39"/>
      <c r="AI200" s="39"/>
      <c r="AJ200" s="39"/>
      <c r="AK200" s="39"/>
      <c r="AL200" s="39"/>
      <c r="AM200" s="39"/>
      <c r="AN200" s="39"/>
      <c r="AO200" s="39"/>
      <c r="AP200" s="39"/>
      <c r="AQ200" s="39"/>
      <c r="AR200" s="39"/>
      <c r="AS200" s="39"/>
      <c r="AT200" s="39"/>
      <c r="AU200" s="39"/>
      <c r="AV200" s="39"/>
      <c r="AW200" s="39"/>
    </row>
    <row r="201" spans="1:49" s="48" customFormat="1" ht="12.75" customHeight="1" x14ac:dyDescent="0.25">
      <c r="A201" s="33" t="s">
        <v>484</v>
      </c>
      <c r="B201" s="51" t="s">
        <v>579</v>
      </c>
      <c r="C201" s="35" t="s">
        <v>580</v>
      </c>
      <c r="D201" s="102" t="s">
        <v>581</v>
      </c>
      <c r="E201" s="37" t="s">
        <v>54</v>
      </c>
      <c r="F201" s="38" t="s">
        <v>55</v>
      </c>
      <c r="G201" s="84"/>
      <c r="H201" s="40" t="s">
        <v>56</v>
      </c>
      <c r="I201" s="42"/>
      <c r="J201" s="39">
        <v>26</v>
      </c>
      <c r="K201" s="42">
        <v>140.10846774193547</v>
      </c>
      <c r="L201" s="42">
        <v>3642.8201612903222</v>
      </c>
      <c r="M201" s="50"/>
      <c r="N201" s="39"/>
      <c r="O201" s="39"/>
      <c r="P201" s="42">
        <v>0</v>
      </c>
      <c r="Q201" s="52"/>
      <c r="S201" s="39"/>
      <c r="T201" s="39"/>
      <c r="U201" s="39"/>
      <c r="V201" s="39"/>
      <c r="W201" s="39"/>
      <c r="X201" s="39"/>
      <c r="Y201" s="39"/>
      <c r="Z201" s="39"/>
      <c r="AA201" s="39"/>
      <c r="AB201" s="39"/>
      <c r="AC201" s="39"/>
      <c r="AD201" s="39"/>
      <c r="AE201" s="39"/>
      <c r="AF201" s="39"/>
      <c r="AG201" s="39"/>
      <c r="AH201" s="39"/>
      <c r="AI201" s="39"/>
      <c r="AJ201" s="39"/>
      <c r="AK201" s="39"/>
      <c r="AL201" s="39"/>
      <c r="AM201" s="39"/>
      <c r="AN201" s="39"/>
      <c r="AO201" s="39"/>
      <c r="AP201" s="39"/>
      <c r="AQ201" s="39"/>
      <c r="AR201" s="39"/>
      <c r="AS201" s="39"/>
      <c r="AT201" s="39"/>
      <c r="AU201" s="39"/>
      <c r="AV201" s="39"/>
      <c r="AW201" s="39"/>
    </row>
    <row r="202" spans="1:49" s="48" customFormat="1" ht="12.75" customHeight="1" x14ac:dyDescent="0.25">
      <c r="A202" s="33" t="s">
        <v>484</v>
      </c>
      <c r="B202" s="51" t="s">
        <v>582</v>
      </c>
      <c r="C202" s="35" t="s">
        <v>583</v>
      </c>
      <c r="D202" s="102" t="s">
        <v>584</v>
      </c>
      <c r="E202" s="37" t="s">
        <v>54</v>
      </c>
      <c r="F202" s="38" t="s">
        <v>55</v>
      </c>
      <c r="G202" s="84"/>
      <c r="H202" s="40" t="s">
        <v>56</v>
      </c>
      <c r="I202" s="42"/>
      <c r="J202" s="39">
        <v>30</v>
      </c>
      <c r="K202" s="42">
        <v>140.10846774193547</v>
      </c>
      <c r="L202" s="42">
        <v>4203.2540322580644</v>
      </c>
      <c r="M202" s="50"/>
      <c r="N202" s="39"/>
      <c r="O202" s="39"/>
      <c r="P202" s="42">
        <v>0</v>
      </c>
      <c r="Q202" s="52"/>
      <c r="S202" s="39"/>
      <c r="T202" s="39"/>
      <c r="U202" s="39"/>
      <c r="V202" s="39"/>
      <c r="W202" s="39"/>
      <c r="X202" s="39"/>
      <c r="Y202" s="39"/>
      <c r="Z202" s="39"/>
      <c r="AA202" s="39"/>
      <c r="AB202" s="39"/>
      <c r="AC202" s="39"/>
      <c r="AD202" s="39"/>
      <c r="AE202" s="39"/>
      <c r="AF202" s="39"/>
      <c r="AG202" s="39"/>
      <c r="AH202" s="39"/>
      <c r="AI202" s="39"/>
      <c r="AJ202" s="39"/>
      <c r="AK202" s="39"/>
      <c r="AL202" s="39"/>
      <c r="AM202" s="39"/>
      <c r="AN202" s="39"/>
      <c r="AO202" s="39"/>
      <c r="AP202" s="39"/>
      <c r="AQ202" s="39"/>
      <c r="AR202" s="39"/>
      <c r="AS202" s="39"/>
      <c r="AT202" s="39"/>
      <c r="AU202" s="39"/>
      <c r="AV202" s="39"/>
      <c r="AW202" s="39"/>
    </row>
    <row r="203" spans="1:49" s="48" customFormat="1" ht="12.75" customHeight="1" x14ac:dyDescent="0.25">
      <c r="A203" s="33" t="s">
        <v>484</v>
      </c>
      <c r="B203" s="51" t="s">
        <v>585</v>
      </c>
      <c r="C203" s="35" t="s">
        <v>586</v>
      </c>
      <c r="D203" s="102" t="s">
        <v>587</v>
      </c>
      <c r="E203" s="37" t="s">
        <v>54</v>
      </c>
      <c r="F203" s="38" t="s">
        <v>578</v>
      </c>
      <c r="G203" s="84"/>
      <c r="H203" s="40" t="s">
        <v>56</v>
      </c>
      <c r="I203" s="42"/>
      <c r="J203" s="39"/>
      <c r="K203" s="42">
        <v>140.10846774193547</v>
      </c>
      <c r="L203" s="42">
        <v>0</v>
      </c>
      <c r="M203" s="50"/>
      <c r="N203" s="39"/>
      <c r="O203" s="39"/>
      <c r="P203" s="42">
        <v>0</v>
      </c>
      <c r="Q203" s="52"/>
      <c r="S203" s="39"/>
      <c r="T203" s="39"/>
      <c r="U203" s="39"/>
      <c r="V203" s="39"/>
      <c r="W203" s="39"/>
      <c r="X203" s="39"/>
      <c r="Y203" s="39"/>
      <c r="Z203" s="39"/>
      <c r="AA203" s="39"/>
      <c r="AB203" s="39"/>
      <c r="AC203" s="39"/>
      <c r="AD203" s="39"/>
      <c r="AE203" s="39"/>
      <c r="AF203" s="39"/>
      <c r="AG203" s="39"/>
      <c r="AH203" s="39"/>
      <c r="AI203" s="39"/>
      <c r="AJ203" s="39"/>
      <c r="AK203" s="39"/>
      <c r="AL203" s="39"/>
      <c r="AM203" s="39"/>
      <c r="AN203" s="39"/>
      <c r="AO203" s="39"/>
      <c r="AP203" s="39"/>
      <c r="AQ203" s="39"/>
      <c r="AR203" s="39"/>
      <c r="AS203" s="39"/>
      <c r="AT203" s="39"/>
      <c r="AU203" s="39"/>
      <c r="AV203" s="39"/>
      <c r="AW203" s="39"/>
    </row>
    <row r="204" spans="1:49" s="48" customFormat="1" ht="12.75" customHeight="1" x14ac:dyDescent="0.25">
      <c r="A204" s="33" t="s">
        <v>484</v>
      </c>
      <c r="B204" s="51" t="s">
        <v>588</v>
      </c>
      <c r="C204" s="35" t="s">
        <v>589</v>
      </c>
      <c r="D204" s="102" t="s">
        <v>590</v>
      </c>
      <c r="E204" s="37" t="s">
        <v>54</v>
      </c>
      <c r="F204" s="38" t="s">
        <v>55</v>
      </c>
      <c r="G204" s="84"/>
      <c r="H204" s="40" t="s">
        <v>56</v>
      </c>
      <c r="I204" s="42"/>
      <c r="J204" s="39">
        <v>104</v>
      </c>
      <c r="K204" s="42">
        <v>140.10846774193547</v>
      </c>
      <c r="L204" s="42">
        <v>14571.280645161289</v>
      </c>
      <c r="M204" s="50"/>
      <c r="N204" s="39"/>
      <c r="O204" s="39"/>
      <c r="P204" s="42">
        <v>0</v>
      </c>
      <c r="Q204" s="52"/>
      <c r="S204" s="39"/>
      <c r="T204" s="39"/>
      <c r="U204" s="39"/>
      <c r="V204" s="39"/>
      <c r="W204" s="39"/>
      <c r="X204" s="39"/>
      <c r="Y204" s="39"/>
      <c r="Z204" s="39"/>
      <c r="AA204" s="39"/>
      <c r="AB204" s="39"/>
      <c r="AC204" s="39"/>
      <c r="AD204" s="39"/>
      <c r="AE204" s="39"/>
      <c r="AF204" s="39"/>
      <c r="AG204" s="39"/>
      <c r="AH204" s="39"/>
      <c r="AI204" s="39"/>
      <c r="AJ204" s="39"/>
      <c r="AK204" s="39"/>
      <c r="AL204" s="39"/>
      <c r="AM204" s="39"/>
      <c r="AN204" s="39"/>
      <c r="AO204" s="39"/>
      <c r="AP204" s="39"/>
      <c r="AQ204" s="39"/>
      <c r="AR204" s="39"/>
      <c r="AS204" s="39"/>
      <c r="AT204" s="39"/>
      <c r="AU204" s="39"/>
      <c r="AV204" s="39"/>
      <c r="AW204" s="39"/>
    </row>
    <row r="205" spans="1:49" s="64" customFormat="1" ht="12.75" customHeight="1" x14ac:dyDescent="0.25">
      <c r="A205" s="14" t="s">
        <v>484</v>
      </c>
      <c r="B205" s="15">
        <v>28243979</v>
      </c>
      <c r="C205" s="56" t="s">
        <v>591</v>
      </c>
      <c r="D205" s="80" t="s">
        <v>592</v>
      </c>
      <c r="E205" s="18" t="s">
        <v>958</v>
      </c>
      <c r="F205" s="58"/>
      <c r="G205" s="87"/>
      <c r="H205" s="87"/>
      <c r="I205" s="42"/>
      <c r="J205" s="20">
        <f>SUM(J206)</f>
        <v>10</v>
      </c>
      <c r="K205" s="20">
        <v>140.10846774193499</v>
      </c>
      <c r="L205" s="22">
        <f>SUM(L206)</f>
        <v>1401.0846774193546</v>
      </c>
      <c r="M205" s="88"/>
      <c r="N205" s="65"/>
      <c r="O205" s="65"/>
      <c r="P205" s="62"/>
      <c r="R205" s="48"/>
      <c r="S205" s="65"/>
      <c r="T205" s="65"/>
      <c r="U205" s="65"/>
      <c r="V205" s="65"/>
      <c r="W205" s="65"/>
      <c r="X205" s="65"/>
      <c r="Y205" s="65"/>
      <c r="Z205" s="65"/>
      <c r="AA205" s="65"/>
      <c r="AB205" s="65"/>
      <c r="AC205" s="65"/>
      <c r="AD205" s="65"/>
      <c r="AE205" s="65"/>
      <c r="AF205" s="65"/>
      <c r="AG205" s="65"/>
      <c r="AH205" s="65"/>
      <c r="AI205" s="65"/>
      <c r="AJ205" s="65"/>
      <c r="AK205" s="65"/>
      <c r="AL205" s="65"/>
      <c r="AM205" s="65"/>
      <c r="AN205" s="65"/>
      <c r="AO205" s="65"/>
      <c r="AP205" s="65"/>
      <c r="AQ205" s="65"/>
      <c r="AR205" s="65"/>
      <c r="AS205" s="65"/>
      <c r="AT205" s="65"/>
      <c r="AU205" s="65"/>
      <c r="AV205" s="65"/>
      <c r="AW205" s="65"/>
    </row>
    <row r="206" spans="1:49" s="48" customFormat="1" ht="22.5" x14ac:dyDescent="0.25">
      <c r="A206" s="33" t="s">
        <v>484</v>
      </c>
      <c r="B206" s="51" t="s">
        <v>593</v>
      </c>
      <c r="C206" s="35" t="s">
        <v>594</v>
      </c>
      <c r="D206" s="102" t="s">
        <v>595</v>
      </c>
      <c r="E206" s="37" t="s">
        <v>54</v>
      </c>
      <c r="F206" s="38" t="s">
        <v>55</v>
      </c>
      <c r="G206" s="84"/>
      <c r="H206" s="40" t="s">
        <v>56</v>
      </c>
      <c r="I206" s="42"/>
      <c r="J206" s="39">
        <v>10</v>
      </c>
      <c r="K206" s="42">
        <v>140.10846774193547</v>
      </c>
      <c r="L206" s="42">
        <v>1401.0846774193546</v>
      </c>
      <c r="M206" s="50"/>
      <c r="N206" s="39"/>
      <c r="O206" s="39"/>
      <c r="P206" s="42">
        <v>0</v>
      </c>
      <c r="Q206" s="52"/>
      <c r="S206" s="39"/>
      <c r="T206" s="39"/>
      <c r="U206" s="39"/>
      <c r="V206" s="39"/>
      <c r="W206" s="39"/>
      <c r="X206" s="39"/>
      <c r="Y206" s="39"/>
      <c r="Z206" s="39"/>
      <c r="AA206" s="39"/>
      <c r="AB206" s="39"/>
      <c r="AC206" s="39"/>
      <c r="AD206" s="39"/>
      <c r="AE206" s="39"/>
      <c r="AF206" s="39"/>
      <c r="AG206" s="39"/>
      <c r="AH206" s="39"/>
      <c r="AI206" s="39"/>
      <c r="AJ206" s="39"/>
      <c r="AK206" s="39"/>
      <c r="AL206" s="39"/>
      <c r="AM206" s="39"/>
      <c r="AN206" s="39"/>
      <c r="AO206" s="39"/>
      <c r="AP206" s="39"/>
      <c r="AQ206" s="39"/>
      <c r="AR206" s="39"/>
      <c r="AS206" s="39"/>
      <c r="AT206" s="39"/>
      <c r="AU206" s="39"/>
      <c r="AV206" s="39"/>
      <c r="AW206" s="39"/>
    </row>
    <row r="207" spans="1:49" s="64" customFormat="1" ht="12.75" customHeight="1" x14ac:dyDescent="0.25">
      <c r="A207" s="14" t="s">
        <v>484</v>
      </c>
      <c r="B207" s="15">
        <v>28243979</v>
      </c>
      <c r="C207" s="56" t="s">
        <v>596</v>
      </c>
      <c r="D207" s="80" t="s">
        <v>597</v>
      </c>
      <c r="E207" s="18" t="s">
        <v>958</v>
      </c>
      <c r="F207" s="58"/>
      <c r="G207" s="87"/>
      <c r="H207" s="87"/>
      <c r="I207" s="42"/>
      <c r="J207" s="20">
        <f>SUM(J208:J209)</f>
        <v>80</v>
      </c>
      <c r="K207" s="20">
        <v>140.10846774193499</v>
      </c>
      <c r="L207" s="22">
        <f>SUM(L208:L209)</f>
        <v>11208.677419354837</v>
      </c>
      <c r="M207" s="88"/>
      <c r="N207" s="65"/>
      <c r="O207" s="65"/>
      <c r="P207" s="62"/>
      <c r="R207" s="48"/>
      <c r="S207" s="65"/>
      <c r="T207" s="65"/>
      <c r="U207" s="65"/>
      <c r="V207" s="65"/>
      <c r="W207" s="65"/>
      <c r="X207" s="65"/>
      <c r="Y207" s="65"/>
      <c r="Z207" s="65"/>
      <c r="AA207" s="65"/>
      <c r="AB207" s="65"/>
      <c r="AC207" s="65"/>
      <c r="AD207" s="65"/>
      <c r="AE207" s="65"/>
      <c r="AF207" s="65"/>
      <c r="AG207" s="65"/>
      <c r="AH207" s="65"/>
      <c r="AI207" s="65"/>
      <c r="AJ207" s="65"/>
      <c r="AK207" s="65"/>
      <c r="AL207" s="65"/>
      <c r="AM207" s="65"/>
      <c r="AN207" s="65"/>
      <c r="AO207" s="65"/>
      <c r="AP207" s="65"/>
      <c r="AQ207" s="65"/>
      <c r="AR207" s="65"/>
      <c r="AS207" s="65"/>
      <c r="AT207" s="65"/>
      <c r="AU207" s="65"/>
      <c r="AV207" s="65"/>
      <c r="AW207" s="65"/>
    </row>
    <row r="208" spans="1:49" s="48" customFormat="1" ht="12.75" customHeight="1" x14ac:dyDescent="0.25">
      <c r="A208" s="33" t="s">
        <v>484</v>
      </c>
      <c r="B208" s="51" t="s">
        <v>598</v>
      </c>
      <c r="C208" s="35" t="s">
        <v>599</v>
      </c>
      <c r="D208" s="102" t="s">
        <v>600</v>
      </c>
      <c r="E208" s="37" t="s">
        <v>54</v>
      </c>
      <c r="F208" s="38" t="s">
        <v>55</v>
      </c>
      <c r="G208" s="84"/>
      <c r="H208" s="84" t="s">
        <v>601</v>
      </c>
      <c r="I208" s="42"/>
      <c r="J208" s="39">
        <v>80</v>
      </c>
      <c r="K208" s="42">
        <v>140.10846774193547</v>
      </c>
      <c r="L208" s="42">
        <v>11208.677419354837</v>
      </c>
      <c r="M208" s="50"/>
      <c r="N208" s="39"/>
      <c r="O208" s="39"/>
      <c r="P208" s="42">
        <v>0</v>
      </c>
      <c r="Q208" s="52"/>
      <c r="S208" s="39"/>
      <c r="T208" s="39"/>
      <c r="U208" s="39"/>
      <c r="V208" s="39"/>
      <c r="W208" s="39"/>
      <c r="X208" s="39"/>
      <c r="Y208" s="39"/>
      <c r="Z208" s="39"/>
      <c r="AA208" s="39"/>
      <c r="AB208" s="39"/>
      <c r="AC208" s="39"/>
      <c r="AD208" s="39"/>
      <c r="AE208" s="39"/>
      <c r="AF208" s="39"/>
      <c r="AG208" s="39"/>
      <c r="AH208" s="39"/>
      <c r="AI208" s="39"/>
      <c r="AJ208" s="39"/>
      <c r="AK208" s="39"/>
      <c r="AL208" s="39"/>
      <c r="AM208" s="39"/>
      <c r="AN208" s="39"/>
      <c r="AO208" s="39"/>
      <c r="AP208" s="39"/>
      <c r="AQ208" s="39"/>
      <c r="AR208" s="39"/>
      <c r="AS208" s="39"/>
      <c r="AT208" s="39"/>
      <c r="AU208" s="39"/>
      <c r="AV208" s="39"/>
      <c r="AW208" s="39"/>
    </row>
    <row r="209" spans="1:49" s="48" customFormat="1" ht="12.75" customHeight="1" x14ac:dyDescent="0.25">
      <c r="A209" s="33" t="s">
        <v>484</v>
      </c>
      <c r="B209" s="51" t="s">
        <v>602</v>
      </c>
      <c r="C209" s="35" t="s">
        <v>603</v>
      </c>
      <c r="D209" s="102" t="s">
        <v>604</v>
      </c>
      <c r="E209" s="37" t="s">
        <v>54</v>
      </c>
      <c r="F209" s="38" t="s">
        <v>55</v>
      </c>
      <c r="G209" s="84"/>
      <c r="H209" s="40" t="s">
        <v>56</v>
      </c>
      <c r="I209" s="42"/>
      <c r="J209" s="39">
        <v>0</v>
      </c>
      <c r="K209" s="42">
        <v>140.10846774193547</v>
      </c>
      <c r="L209" s="42">
        <v>0</v>
      </c>
      <c r="M209" s="50"/>
      <c r="N209" s="39"/>
      <c r="O209" s="39"/>
      <c r="P209" s="42">
        <v>0</v>
      </c>
      <c r="Q209" s="52"/>
      <c r="S209" s="39"/>
      <c r="T209" s="39"/>
      <c r="U209" s="39"/>
      <c r="V209" s="39"/>
      <c r="W209" s="39"/>
      <c r="X209" s="39"/>
      <c r="Y209" s="39"/>
      <c r="Z209" s="39"/>
      <c r="AA209" s="39"/>
      <c r="AB209" s="39"/>
      <c r="AC209" s="39"/>
      <c r="AD209" s="39"/>
      <c r="AE209" s="39"/>
      <c r="AF209" s="39"/>
      <c r="AG209" s="39"/>
      <c r="AH209" s="39"/>
      <c r="AI209" s="39"/>
      <c r="AJ209" s="39"/>
      <c r="AK209" s="39"/>
      <c r="AL209" s="39"/>
      <c r="AM209" s="39"/>
      <c r="AN209" s="39"/>
      <c r="AO209" s="39"/>
      <c r="AP209" s="39"/>
      <c r="AQ209" s="39"/>
      <c r="AR209" s="39"/>
      <c r="AS209" s="39"/>
      <c r="AT209" s="39"/>
      <c r="AU209" s="39"/>
      <c r="AV209" s="39"/>
      <c r="AW209" s="39"/>
    </row>
    <row r="210" spans="1:49" s="64" customFormat="1" ht="21.6" customHeight="1" x14ac:dyDescent="0.25">
      <c r="A210" s="14" t="s">
        <v>484</v>
      </c>
      <c r="B210" s="15">
        <v>28243979</v>
      </c>
      <c r="C210" s="56" t="s">
        <v>605</v>
      </c>
      <c r="D210" s="80" t="s">
        <v>606</v>
      </c>
      <c r="E210" s="18" t="s">
        <v>958</v>
      </c>
      <c r="F210" s="58"/>
      <c r="G210" s="87"/>
      <c r="H210" s="87" t="s">
        <v>56</v>
      </c>
      <c r="I210" s="42"/>
      <c r="J210" s="20">
        <f>SUM(J211:J212)</f>
        <v>0</v>
      </c>
      <c r="K210" s="20">
        <v>140.10846774193499</v>
      </c>
      <c r="L210" s="22">
        <f>SUM(L211:L212)</f>
        <v>0</v>
      </c>
      <c r="M210" s="88"/>
      <c r="N210" s="65"/>
      <c r="O210" s="65"/>
      <c r="P210" s="62"/>
      <c r="R210" s="48"/>
      <c r="S210" s="65"/>
      <c r="T210" s="65"/>
      <c r="U210" s="65"/>
      <c r="V210" s="65"/>
      <c r="W210" s="65"/>
      <c r="X210" s="65"/>
      <c r="Y210" s="65"/>
      <c r="Z210" s="65"/>
      <c r="AA210" s="65"/>
      <c r="AB210" s="65"/>
      <c r="AC210" s="65"/>
      <c r="AD210" s="65"/>
      <c r="AE210" s="65"/>
      <c r="AF210" s="65"/>
      <c r="AG210" s="65"/>
      <c r="AH210" s="65"/>
      <c r="AI210" s="65"/>
      <c r="AJ210" s="65"/>
      <c r="AK210" s="65"/>
      <c r="AL210" s="65"/>
      <c r="AM210" s="65"/>
      <c r="AN210" s="65"/>
      <c r="AO210" s="65"/>
      <c r="AP210" s="65"/>
      <c r="AQ210" s="65"/>
      <c r="AR210" s="65"/>
      <c r="AS210" s="65"/>
      <c r="AT210" s="65"/>
      <c r="AU210" s="65"/>
      <c r="AV210" s="65"/>
      <c r="AW210" s="65"/>
    </row>
    <row r="211" spans="1:49" s="48" customFormat="1" ht="12.75" customHeight="1" x14ac:dyDescent="0.25">
      <c r="A211" s="33" t="s">
        <v>484</v>
      </c>
      <c r="B211" s="51" t="s">
        <v>607</v>
      </c>
      <c r="C211" s="35" t="s">
        <v>608</v>
      </c>
      <c r="D211" s="102" t="s">
        <v>609</v>
      </c>
      <c r="E211" s="37" t="s">
        <v>54</v>
      </c>
      <c r="F211" s="38" t="s">
        <v>578</v>
      </c>
      <c r="G211" s="84"/>
      <c r="H211" s="84" t="s">
        <v>610</v>
      </c>
      <c r="I211" s="42"/>
      <c r="J211" s="39"/>
      <c r="K211" s="42"/>
      <c r="L211" s="42">
        <v>0</v>
      </c>
      <c r="M211" s="50"/>
      <c r="N211" s="39"/>
      <c r="O211" s="39"/>
      <c r="P211" s="42">
        <v>0</v>
      </c>
      <c r="Q211" s="52"/>
      <c r="S211" s="39"/>
      <c r="T211" s="39"/>
      <c r="U211" s="39"/>
      <c r="V211" s="39"/>
      <c r="W211" s="39"/>
      <c r="X211" s="39"/>
      <c r="Y211" s="39"/>
      <c r="Z211" s="39"/>
      <c r="AA211" s="39"/>
      <c r="AB211" s="39"/>
      <c r="AC211" s="39"/>
      <c r="AD211" s="39"/>
      <c r="AE211" s="39"/>
      <c r="AF211" s="39"/>
      <c r="AG211" s="39"/>
      <c r="AH211" s="39"/>
      <c r="AI211" s="39"/>
      <c r="AJ211" s="39"/>
      <c r="AK211" s="39"/>
      <c r="AL211" s="39"/>
      <c r="AM211" s="39"/>
      <c r="AN211" s="39"/>
      <c r="AO211" s="39"/>
      <c r="AP211" s="39"/>
      <c r="AQ211" s="39"/>
      <c r="AR211" s="39"/>
      <c r="AS211" s="39"/>
      <c r="AT211" s="39"/>
      <c r="AU211" s="39"/>
      <c r="AV211" s="39"/>
      <c r="AW211" s="39"/>
    </row>
    <row r="212" spans="1:49" s="48" customFormat="1" ht="12.75" customHeight="1" x14ac:dyDescent="0.25">
      <c r="A212" s="33" t="s">
        <v>484</v>
      </c>
      <c r="B212" s="51" t="s">
        <v>611</v>
      </c>
      <c r="C212" s="35" t="s">
        <v>612</v>
      </c>
      <c r="D212" s="102" t="s">
        <v>613</v>
      </c>
      <c r="E212" s="37" t="s">
        <v>54</v>
      </c>
      <c r="F212" s="38" t="s">
        <v>55</v>
      </c>
      <c r="G212" s="84"/>
      <c r="H212" s="40" t="s">
        <v>56</v>
      </c>
      <c r="I212" s="42"/>
      <c r="J212" s="39"/>
      <c r="K212" s="42">
        <v>140.10846774193547</v>
      </c>
      <c r="L212" s="42">
        <v>0</v>
      </c>
      <c r="M212" s="50"/>
      <c r="N212" s="39"/>
      <c r="O212" s="39"/>
      <c r="P212" s="42">
        <v>0</v>
      </c>
      <c r="Q212" s="52"/>
      <c r="S212" s="39"/>
      <c r="T212" s="39"/>
      <c r="U212" s="39"/>
      <c r="V212" s="39"/>
      <c r="W212" s="39"/>
      <c r="X212" s="39"/>
      <c r="Y212" s="39"/>
      <c r="Z212" s="39"/>
      <c r="AA212" s="39"/>
      <c r="AB212" s="39"/>
      <c r="AC212" s="39"/>
      <c r="AD212" s="39"/>
      <c r="AE212" s="39"/>
      <c r="AF212" s="39"/>
      <c r="AG212" s="39"/>
      <c r="AH212" s="39"/>
      <c r="AI212" s="39"/>
      <c r="AJ212" s="39"/>
      <c r="AK212" s="39"/>
      <c r="AL212" s="39"/>
      <c r="AM212" s="39"/>
      <c r="AN212" s="39"/>
      <c r="AO212" s="39"/>
      <c r="AP212" s="39"/>
      <c r="AQ212" s="39"/>
      <c r="AR212" s="39"/>
      <c r="AS212" s="39"/>
      <c r="AT212" s="39"/>
      <c r="AU212" s="39"/>
      <c r="AV212" s="39"/>
      <c r="AW212" s="39"/>
    </row>
    <row r="213" spans="1:49" s="64" customFormat="1" ht="12.75" customHeight="1" x14ac:dyDescent="0.25">
      <c r="A213" s="14" t="s">
        <v>484</v>
      </c>
      <c r="B213" s="15">
        <v>28243979</v>
      </c>
      <c r="C213" s="56" t="s">
        <v>614</v>
      </c>
      <c r="D213" s="80" t="s">
        <v>615</v>
      </c>
      <c r="E213" s="18" t="s">
        <v>958</v>
      </c>
      <c r="F213" s="58"/>
      <c r="G213" s="87"/>
      <c r="H213" s="87"/>
      <c r="I213" s="42"/>
      <c r="J213" s="20">
        <f>SUM(J214:J218)</f>
        <v>0</v>
      </c>
      <c r="K213" s="20">
        <v>140.10846774193499</v>
      </c>
      <c r="L213" s="22">
        <f>SUM(L214:L218)</f>
        <v>0</v>
      </c>
      <c r="M213" s="88"/>
      <c r="N213" s="65"/>
      <c r="O213" s="65"/>
      <c r="P213" s="62"/>
      <c r="R213" s="48"/>
      <c r="S213" s="65"/>
      <c r="T213" s="65"/>
      <c r="U213" s="65"/>
      <c r="V213" s="65"/>
      <c r="W213" s="65"/>
      <c r="X213" s="65"/>
      <c r="Y213" s="65"/>
      <c r="Z213" s="65"/>
      <c r="AA213" s="65"/>
      <c r="AB213" s="65"/>
      <c r="AC213" s="65"/>
      <c r="AD213" s="65"/>
      <c r="AE213" s="65"/>
      <c r="AF213" s="65"/>
      <c r="AG213" s="65"/>
      <c r="AH213" s="65"/>
      <c r="AI213" s="65"/>
      <c r="AJ213" s="65"/>
      <c r="AK213" s="65"/>
      <c r="AL213" s="65"/>
      <c r="AM213" s="65"/>
      <c r="AN213" s="65"/>
      <c r="AO213" s="65"/>
      <c r="AP213" s="65"/>
      <c r="AQ213" s="65"/>
      <c r="AR213" s="65"/>
      <c r="AS213" s="65"/>
      <c r="AT213" s="65"/>
      <c r="AU213" s="65"/>
      <c r="AV213" s="65"/>
      <c r="AW213" s="65"/>
    </row>
    <row r="214" spans="1:49" s="48" customFormat="1" ht="12.75" customHeight="1" x14ac:dyDescent="0.25">
      <c r="A214" s="33" t="s">
        <v>484</v>
      </c>
      <c r="B214" s="51" t="s">
        <v>616</v>
      </c>
      <c r="C214" s="35" t="s">
        <v>617</v>
      </c>
      <c r="D214" s="36" t="s">
        <v>618</v>
      </c>
      <c r="E214" s="37" t="s">
        <v>69</v>
      </c>
      <c r="F214" s="38" t="s">
        <v>55</v>
      </c>
      <c r="G214" s="84"/>
      <c r="H214" s="92" t="s">
        <v>619</v>
      </c>
      <c r="I214" s="42"/>
      <c r="J214" s="39"/>
      <c r="K214" s="42">
        <v>140.10846774193547</v>
      </c>
      <c r="L214" s="42">
        <v>0</v>
      </c>
      <c r="M214" s="50"/>
      <c r="N214" s="39"/>
      <c r="O214" s="39"/>
      <c r="P214" s="42">
        <v>0</v>
      </c>
      <c r="Q214" s="52"/>
      <c r="S214" s="39"/>
      <c r="T214" s="39"/>
      <c r="U214" s="39"/>
      <c r="V214" s="39"/>
      <c r="W214" s="39"/>
      <c r="X214" s="39"/>
      <c r="Y214" s="39"/>
      <c r="Z214" s="39"/>
      <c r="AA214" s="39"/>
      <c r="AB214" s="39"/>
      <c r="AC214" s="39"/>
      <c r="AD214" s="39"/>
      <c r="AE214" s="39"/>
      <c r="AF214" s="39"/>
      <c r="AG214" s="39"/>
      <c r="AH214" s="39"/>
      <c r="AI214" s="39"/>
      <c r="AJ214" s="39"/>
      <c r="AK214" s="39"/>
      <c r="AL214" s="39"/>
      <c r="AM214" s="39"/>
      <c r="AN214" s="39"/>
      <c r="AO214" s="39"/>
      <c r="AP214" s="39"/>
      <c r="AQ214" s="39"/>
      <c r="AR214" s="39"/>
      <c r="AS214" s="39"/>
      <c r="AT214" s="39"/>
      <c r="AU214" s="39"/>
      <c r="AV214" s="39"/>
      <c r="AW214" s="39"/>
    </row>
    <row r="215" spans="1:49" s="48" customFormat="1" ht="12.75" customHeight="1" x14ac:dyDescent="0.25">
      <c r="A215" s="33" t="s">
        <v>484</v>
      </c>
      <c r="B215" s="51" t="s">
        <v>620</v>
      </c>
      <c r="C215" s="35" t="s">
        <v>621</v>
      </c>
      <c r="D215" s="36" t="s">
        <v>622</v>
      </c>
      <c r="E215" s="37" t="s">
        <v>69</v>
      </c>
      <c r="F215" s="38" t="s">
        <v>55</v>
      </c>
      <c r="G215" s="84"/>
      <c r="H215" s="92" t="s">
        <v>619</v>
      </c>
      <c r="I215" s="42"/>
      <c r="J215" s="39"/>
      <c r="K215" s="42">
        <v>140.10846774193547</v>
      </c>
      <c r="L215" s="42">
        <v>0</v>
      </c>
      <c r="M215" s="50"/>
      <c r="N215" s="39"/>
      <c r="O215" s="39"/>
      <c r="P215" s="42">
        <v>0</v>
      </c>
      <c r="Q215" s="52"/>
      <c r="S215" s="39"/>
      <c r="T215" s="39"/>
      <c r="U215" s="39"/>
      <c r="V215" s="39"/>
      <c r="W215" s="39"/>
      <c r="X215" s="39"/>
      <c r="Y215" s="39"/>
      <c r="Z215" s="39"/>
      <c r="AA215" s="39"/>
      <c r="AB215" s="39"/>
      <c r="AC215" s="39"/>
      <c r="AD215" s="39"/>
      <c r="AE215" s="39"/>
      <c r="AF215" s="39"/>
      <c r="AG215" s="39"/>
      <c r="AH215" s="39"/>
      <c r="AI215" s="39"/>
      <c r="AJ215" s="39"/>
      <c r="AK215" s="39"/>
      <c r="AL215" s="39"/>
      <c r="AM215" s="39"/>
      <c r="AN215" s="39"/>
      <c r="AO215" s="39"/>
      <c r="AP215" s="39"/>
      <c r="AQ215" s="39"/>
      <c r="AR215" s="39"/>
      <c r="AS215" s="39"/>
      <c r="AT215" s="39"/>
      <c r="AU215" s="39"/>
      <c r="AV215" s="39"/>
      <c r="AW215" s="39"/>
    </row>
    <row r="216" spans="1:49" s="48" customFormat="1" ht="12.75" customHeight="1" x14ac:dyDescent="0.25">
      <c r="A216" s="33" t="s">
        <v>484</v>
      </c>
      <c r="B216" s="51" t="s">
        <v>623</v>
      </c>
      <c r="C216" s="35" t="s">
        <v>624</v>
      </c>
      <c r="D216" s="36" t="s">
        <v>625</v>
      </c>
      <c r="E216" s="37" t="s">
        <v>69</v>
      </c>
      <c r="F216" s="38" t="s">
        <v>55</v>
      </c>
      <c r="G216" s="84"/>
      <c r="H216" s="92" t="s">
        <v>619</v>
      </c>
      <c r="I216" s="42"/>
      <c r="J216" s="39"/>
      <c r="K216" s="42">
        <v>140.10846774193547</v>
      </c>
      <c r="L216" s="42">
        <v>0</v>
      </c>
      <c r="M216" s="50"/>
      <c r="N216" s="39"/>
      <c r="O216" s="39"/>
      <c r="P216" s="42">
        <v>0</v>
      </c>
      <c r="Q216" s="52"/>
      <c r="S216" s="39"/>
      <c r="T216" s="39"/>
      <c r="U216" s="39"/>
      <c r="V216" s="39"/>
      <c r="W216" s="39"/>
      <c r="X216" s="39"/>
      <c r="Y216" s="39"/>
      <c r="Z216" s="39"/>
      <c r="AA216" s="39"/>
      <c r="AB216" s="39"/>
      <c r="AC216" s="39"/>
      <c r="AD216" s="39"/>
      <c r="AE216" s="39"/>
      <c r="AF216" s="39"/>
      <c r="AG216" s="39"/>
      <c r="AH216" s="39"/>
      <c r="AI216" s="39"/>
      <c r="AJ216" s="39"/>
      <c r="AK216" s="39"/>
      <c r="AL216" s="39"/>
      <c r="AM216" s="39"/>
      <c r="AN216" s="39"/>
      <c r="AO216" s="39"/>
      <c r="AP216" s="39"/>
      <c r="AQ216" s="39"/>
      <c r="AR216" s="39"/>
      <c r="AS216" s="39"/>
      <c r="AT216" s="39"/>
      <c r="AU216" s="39"/>
      <c r="AV216" s="39"/>
      <c r="AW216" s="39"/>
    </row>
    <row r="217" spans="1:49" s="48" customFormat="1" ht="12.75" customHeight="1" x14ac:dyDescent="0.25">
      <c r="A217" s="33" t="s">
        <v>484</v>
      </c>
      <c r="B217" s="51" t="s">
        <v>626</v>
      </c>
      <c r="C217" s="35" t="s">
        <v>627</v>
      </c>
      <c r="D217" s="36" t="s">
        <v>628</v>
      </c>
      <c r="E217" s="37" t="s">
        <v>69</v>
      </c>
      <c r="F217" s="38" t="s">
        <v>55</v>
      </c>
      <c r="G217" s="84"/>
      <c r="H217" s="92" t="s">
        <v>619</v>
      </c>
      <c r="I217" s="42"/>
      <c r="J217" s="39"/>
      <c r="K217" s="42">
        <v>140.10846774193547</v>
      </c>
      <c r="L217" s="42">
        <v>0</v>
      </c>
      <c r="M217" s="50"/>
      <c r="N217" s="39"/>
      <c r="O217" s="39"/>
      <c r="P217" s="42">
        <v>0</v>
      </c>
      <c r="Q217" s="52"/>
      <c r="S217" s="39"/>
      <c r="T217" s="39"/>
      <c r="U217" s="39"/>
      <c r="V217" s="39"/>
      <c r="W217" s="39"/>
      <c r="X217" s="39"/>
      <c r="Y217" s="39"/>
      <c r="Z217" s="39"/>
      <c r="AA217" s="39"/>
      <c r="AB217" s="39"/>
      <c r="AC217" s="39"/>
      <c r="AD217" s="39"/>
      <c r="AE217" s="39"/>
      <c r="AF217" s="39"/>
      <c r="AG217" s="39"/>
      <c r="AH217" s="39"/>
      <c r="AI217" s="39"/>
      <c r="AJ217" s="39"/>
      <c r="AK217" s="39"/>
      <c r="AL217" s="39"/>
      <c r="AM217" s="39"/>
      <c r="AN217" s="39"/>
      <c r="AO217" s="39"/>
      <c r="AP217" s="39"/>
      <c r="AQ217" s="39"/>
      <c r="AR217" s="39"/>
      <c r="AS217" s="39"/>
      <c r="AT217" s="39"/>
      <c r="AU217" s="39"/>
      <c r="AV217" s="39"/>
      <c r="AW217" s="39"/>
    </row>
    <row r="218" spans="1:49" s="48" customFormat="1" ht="12.75" customHeight="1" x14ac:dyDescent="0.25">
      <c r="A218" s="33" t="s">
        <v>484</v>
      </c>
      <c r="B218" s="51" t="s">
        <v>629</v>
      </c>
      <c r="C218" s="35" t="s">
        <v>630</v>
      </c>
      <c r="D218" s="36" t="s">
        <v>631</v>
      </c>
      <c r="E218" s="37" t="s">
        <v>69</v>
      </c>
      <c r="F218" s="38" t="s">
        <v>55</v>
      </c>
      <c r="G218" s="84"/>
      <c r="H218" s="92" t="s">
        <v>619</v>
      </c>
      <c r="I218" s="42"/>
      <c r="J218" s="39"/>
      <c r="K218" s="42">
        <v>140.10846774193547</v>
      </c>
      <c r="L218" s="42">
        <v>0</v>
      </c>
      <c r="M218" s="50"/>
      <c r="N218" s="39"/>
      <c r="O218" s="39"/>
      <c r="P218" s="42">
        <v>0</v>
      </c>
      <c r="Q218" s="52"/>
      <c r="S218" s="39"/>
      <c r="T218" s="39"/>
      <c r="U218" s="39"/>
      <c r="V218" s="39"/>
      <c r="W218" s="39"/>
      <c r="X218" s="39"/>
      <c r="Y218" s="39"/>
      <c r="Z218" s="39"/>
      <c r="AA218" s="39"/>
      <c r="AB218" s="39"/>
      <c r="AC218" s="39"/>
      <c r="AD218" s="39"/>
      <c r="AE218" s="39"/>
      <c r="AF218" s="39"/>
      <c r="AG218" s="39"/>
      <c r="AH218" s="39"/>
      <c r="AI218" s="39"/>
      <c r="AJ218" s="39"/>
      <c r="AK218" s="39"/>
      <c r="AL218" s="39"/>
      <c r="AM218" s="39"/>
      <c r="AN218" s="39"/>
      <c r="AO218" s="39"/>
      <c r="AP218" s="39"/>
      <c r="AQ218" s="39"/>
      <c r="AR218" s="39"/>
      <c r="AS218" s="39"/>
      <c r="AT218" s="39"/>
      <c r="AU218" s="39"/>
      <c r="AV218" s="39"/>
      <c r="AW218" s="39"/>
    </row>
    <row r="219" spans="1:49" s="64" customFormat="1" ht="23.1" customHeight="1" x14ac:dyDescent="0.25">
      <c r="A219" s="14" t="s">
        <v>484</v>
      </c>
      <c r="B219" s="15">
        <v>28243979</v>
      </c>
      <c r="C219" s="56" t="s">
        <v>632</v>
      </c>
      <c r="D219" s="106" t="s">
        <v>606</v>
      </c>
      <c r="E219" s="18" t="s">
        <v>958</v>
      </c>
      <c r="F219" s="58"/>
      <c r="G219" s="87"/>
      <c r="H219" s="87"/>
      <c r="I219" s="42"/>
      <c r="J219" s="20">
        <f>SUM(J220:J233)</f>
        <v>0</v>
      </c>
      <c r="K219" s="20">
        <v>140.10846774193499</v>
      </c>
      <c r="L219" s="22">
        <f>SUM(L220:L233)</f>
        <v>0</v>
      </c>
      <c r="M219" s="88"/>
      <c r="N219" s="65"/>
      <c r="O219" s="65"/>
      <c r="P219" s="62"/>
      <c r="R219" s="48"/>
      <c r="S219" s="65"/>
      <c r="T219" s="65"/>
      <c r="U219" s="65"/>
      <c r="V219" s="65"/>
      <c r="W219" s="65"/>
      <c r="X219" s="65"/>
      <c r="Y219" s="65"/>
      <c r="Z219" s="65"/>
      <c r="AA219" s="65"/>
      <c r="AB219" s="65"/>
      <c r="AC219" s="65"/>
      <c r="AD219" s="65"/>
      <c r="AE219" s="65"/>
      <c r="AF219" s="65"/>
      <c r="AG219" s="65"/>
      <c r="AH219" s="65"/>
      <c r="AI219" s="65"/>
      <c r="AJ219" s="65"/>
      <c r="AK219" s="65"/>
      <c r="AL219" s="65"/>
      <c r="AM219" s="65"/>
      <c r="AN219" s="65"/>
      <c r="AO219" s="65"/>
      <c r="AP219" s="65"/>
      <c r="AQ219" s="65"/>
      <c r="AR219" s="65"/>
      <c r="AS219" s="65"/>
      <c r="AT219" s="65"/>
      <c r="AU219" s="65"/>
      <c r="AV219" s="65"/>
      <c r="AW219" s="65"/>
    </row>
    <row r="220" spans="1:49" s="48" customFormat="1" ht="12.75" customHeight="1" x14ac:dyDescent="0.25">
      <c r="A220" s="33" t="s">
        <v>484</v>
      </c>
      <c r="B220" s="51" t="s">
        <v>633</v>
      </c>
      <c r="C220" s="35" t="s">
        <v>634</v>
      </c>
      <c r="D220" s="92" t="s">
        <v>635</v>
      </c>
      <c r="E220" s="37" t="s">
        <v>54</v>
      </c>
      <c r="F220" s="38" t="s">
        <v>55</v>
      </c>
      <c r="G220" s="84"/>
      <c r="H220" s="40" t="s">
        <v>56</v>
      </c>
      <c r="I220" s="42"/>
      <c r="J220" s="39"/>
      <c r="K220" s="42"/>
      <c r="L220" s="42">
        <v>0</v>
      </c>
      <c r="M220" s="50"/>
      <c r="N220" s="39"/>
      <c r="O220" s="39"/>
      <c r="P220" s="42">
        <v>0</v>
      </c>
      <c r="Q220" s="52"/>
      <c r="S220" s="39"/>
      <c r="T220" s="39"/>
      <c r="U220" s="39"/>
      <c r="V220" s="39"/>
      <c r="W220" s="39"/>
      <c r="X220" s="39"/>
      <c r="Y220" s="39"/>
      <c r="Z220" s="39"/>
      <c r="AA220" s="39"/>
      <c r="AB220" s="39"/>
      <c r="AC220" s="39"/>
      <c r="AD220" s="39"/>
      <c r="AE220" s="39"/>
      <c r="AF220" s="39"/>
      <c r="AG220" s="39"/>
      <c r="AH220" s="39"/>
      <c r="AI220" s="39"/>
      <c r="AJ220" s="39"/>
      <c r="AK220" s="39"/>
      <c r="AL220" s="39"/>
      <c r="AM220" s="39"/>
      <c r="AN220" s="39"/>
      <c r="AO220" s="39"/>
      <c r="AP220" s="39"/>
      <c r="AQ220" s="39"/>
      <c r="AR220" s="39"/>
      <c r="AS220" s="39"/>
      <c r="AT220" s="39"/>
      <c r="AU220" s="39"/>
      <c r="AV220" s="39"/>
      <c r="AW220" s="39"/>
    </row>
    <row r="221" spans="1:49" s="48" customFormat="1" ht="12.75" customHeight="1" x14ac:dyDescent="0.25">
      <c r="A221" s="33" t="s">
        <v>484</v>
      </c>
      <c r="B221" s="51" t="s">
        <v>636</v>
      </c>
      <c r="C221" s="35" t="s">
        <v>637</v>
      </c>
      <c r="D221" s="92" t="s">
        <v>638</v>
      </c>
      <c r="E221" s="37" t="s">
        <v>54</v>
      </c>
      <c r="F221" s="38" t="s">
        <v>55</v>
      </c>
      <c r="G221" s="84"/>
      <c r="H221" s="40" t="s">
        <v>56</v>
      </c>
      <c r="I221" s="42"/>
      <c r="J221" s="39"/>
      <c r="K221" s="42"/>
      <c r="L221" s="42">
        <v>0</v>
      </c>
      <c r="M221" s="50"/>
      <c r="N221" s="39"/>
      <c r="O221" s="39"/>
      <c r="P221" s="42">
        <v>0</v>
      </c>
      <c r="Q221" s="52"/>
      <c r="S221" s="39"/>
      <c r="T221" s="39"/>
      <c r="U221" s="39"/>
      <c r="V221" s="39"/>
      <c r="W221" s="39"/>
      <c r="X221" s="39"/>
      <c r="Y221" s="39"/>
      <c r="Z221" s="39"/>
      <c r="AA221" s="39"/>
      <c r="AB221" s="39"/>
      <c r="AC221" s="39"/>
      <c r="AD221" s="39"/>
      <c r="AE221" s="39"/>
      <c r="AF221" s="39"/>
      <c r="AG221" s="39"/>
      <c r="AH221" s="39"/>
      <c r="AI221" s="39"/>
      <c r="AJ221" s="39"/>
      <c r="AK221" s="39"/>
      <c r="AL221" s="39"/>
      <c r="AM221" s="39"/>
      <c r="AN221" s="39"/>
      <c r="AO221" s="39"/>
      <c r="AP221" s="39"/>
      <c r="AQ221" s="39"/>
      <c r="AR221" s="39"/>
      <c r="AS221" s="39"/>
      <c r="AT221" s="39"/>
      <c r="AU221" s="39"/>
      <c r="AV221" s="39"/>
      <c r="AW221" s="39"/>
    </row>
    <row r="222" spans="1:49" s="48" customFormat="1" ht="12.75" customHeight="1" x14ac:dyDescent="0.25">
      <c r="A222" s="33" t="s">
        <v>484</v>
      </c>
      <c r="B222" s="51" t="s">
        <v>639</v>
      </c>
      <c r="C222" s="35" t="s">
        <v>640</v>
      </c>
      <c r="D222" s="92" t="s">
        <v>641</v>
      </c>
      <c r="E222" s="37" t="s">
        <v>54</v>
      </c>
      <c r="F222" s="38" t="s">
        <v>55</v>
      </c>
      <c r="G222" s="84"/>
      <c r="H222" s="40" t="s">
        <v>56</v>
      </c>
      <c r="I222" s="42"/>
      <c r="J222" s="39"/>
      <c r="K222" s="42"/>
      <c r="L222" s="42">
        <v>0</v>
      </c>
      <c r="M222" s="50"/>
      <c r="N222" s="39"/>
      <c r="O222" s="39"/>
      <c r="P222" s="42">
        <v>0</v>
      </c>
      <c r="Q222" s="52"/>
      <c r="S222" s="39"/>
      <c r="T222" s="39"/>
      <c r="U222" s="39"/>
      <c r="V222" s="39"/>
      <c r="W222" s="39"/>
      <c r="X222" s="39"/>
      <c r="Y222" s="39"/>
      <c r="Z222" s="39"/>
      <c r="AA222" s="39"/>
      <c r="AB222" s="39"/>
      <c r="AC222" s="39"/>
      <c r="AD222" s="39"/>
      <c r="AE222" s="39"/>
      <c r="AF222" s="39"/>
      <c r="AG222" s="39"/>
      <c r="AH222" s="39"/>
      <c r="AI222" s="39"/>
      <c r="AJ222" s="39"/>
      <c r="AK222" s="39"/>
      <c r="AL222" s="39"/>
      <c r="AM222" s="39"/>
      <c r="AN222" s="39"/>
      <c r="AO222" s="39"/>
      <c r="AP222" s="39"/>
      <c r="AQ222" s="39"/>
      <c r="AR222" s="39"/>
      <c r="AS222" s="39"/>
      <c r="AT222" s="39"/>
      <c r="AU222" s="39"/>
      <c r="AV222" s="39"/>
      <c r="AW222" s="39"/>
    </row>
    <row r="223" spans="1:49" s="48" customFormat="1" ht="12.75" customHeight="1" x14ac:dyDescent="0.25">
      <c r="A223" s="33" t="s">
        <v>484</v>
      </c>
      <c r="B223" s="51" t="s">
        <v>642</v>
      </c>
      <c r="C223" s="35" t="s">
        <v>643</v>
      </c>
      <c r="D223" s="92" t="s">
        <v>644</v>
      </c>
      <c r="E223" s="37" t="s">
        <v>54</v>
      </c>
      <c r="F223" s="38" t="s">
        <v>55</v>
      </c>
      <c r="G223" s="84"/>
      <c r="H223" s="40" t="s">
        <v>56</v>
      </c>
      <c r="I223" s="42"/>
      <c r="J223" s="39"/>
      <c r="K223" s="42"/>
      <c r="L223" s="42">
        <v>0</v>
      </c>
      <c r="M223" s="50"/>
      <c r="N223" s="39"/>
      <c r="O223" s="39"/>
      <c r="P223" s="42">
        <v>0</v>
      </c>
      <c r="Q223" s="52"/>
      <c r="S223" s="39"/>
      <c r="T223" s="39"/>
      <c r="U223" s="39"/>
      <c r="V223" s="39"/>
      <c r="W223" s="39"/>
      <c r="X223" s="39"/>
      <c r="Y223" s="39"/>
      <c r="Z223" s="39"/>
      <c r="AA223" s="39"/>
      <c r="AB223" s="39"/>
      <c r="AC223" s="39"/>
      <c r="AD223" s="39"/>
      <c r="AE223" s="39"/>
      <c r="AF223" s="39"/>
      <c r="AG223" s="39"/>
      <c r="AH223" s="39"/>
      <c r="AI223" s="39"/>
      <c r="AJ223" s="39"/>
      <c r="AK223" s="39"/>
      <c r="AL223" s="39"/>
      <c r="AM223" s="39"/>
      <c r="AN223" s="39"/>
      <c r="AO223" s="39"/>
      <c r="AP223" s="39"/>
      <c r="AQ223" s="39"/>
      <c r="AR223" s="39"/>
      <c r="AS223" s="39"/>
      <c r="AT223" s="39"/>
      <c r="AU223" s="39"/>
      <c r="AV223" s="39"/>
      <c r="AW223" s="39"/>
    </row>
    <row r="224" spans="1:49" s="48" customFormat="1" ht="19.5" customHeight="1" x14ac:dyDescent="0.25">
      <c r="A224" s="33" t="s">
        <v>484</v>
      </c>
      <c r="B224" s="51" t="s">
        <v>645</v>
      </c>
      <c r="C224" s="35" t="s">
        <v>646</v>
      </c>
      <c r="D224" s="86" t="s">
        <v>647</v>
      </c>
      <c r="E224" s="37" t="s">
        <v>54</v>
      </c>
      <c r="F224" s="38" t="s">
        <v>55</v>
      </c>
      <c r="G224" s="84"/>
      <c r="H224" s="40" t="s">
        <v>56</v>
      </c>
      <c r="I224" s="42"/>
      <c r="J224" s="39"/>
      <c r="K224" s="42"/>
      <c r="L224" s="42">
        <v>0</v>
      </c>
      <c r="M224" s="50"/>
      <c r="N224" s="39"/>
      <c r="O224" s="39"/>
      <c r="P224" s="42">
        <v>0</v>
      </c>
      <c r="Q224" s="52"/>
      <c r="S224" s="39"/>
      <c r="T224" s="39"/>
      <c r="U224" s="39"/>
      <c r="V224" s="39"/>
      <c r="W224" s="39"/>
      <c r="X224" s="39"/>
      <c r="Y224" s="39"/>
      <c r="Z224" s="39"/>
      <c r="AA224" s="39"/>
      <c r="AB224" s="39"/>
      <c r="AC224" s="39"/>
      <c r="AD224" s="39"/>
      <c r="AE224" s="39"/>
      <c r="AF224" s="39"/>
      <c r="AG224" s="39"/>
      <c r="AH224" s="39"/>
      <c r="AI224" s="39"/>
      <c r="AJ224" s="39"/>
      <c r="AK224" s="39"/>
      <c r="AL224" s="39"/>
      <c r="AM224" s="39"/>
      <c r="AN224" s="39"/>
      <c r="AO224" s="39"/>
      <c r="AP224" s="39"/>
      <c r="AQ224" s="39"/>
      <c r="AR224" s="39"/>
      <c r="AS224" s="39"/>
      <c r="AT224" s="39"/>
      <c r="AU224" s="39"/>
      <c r="AV224" s="39"/>
      <c r="AW224" s="39"/>
    </row>
    <row r="225" spans="1:49" s="48" customFormat="1" ht="12.75" customHeight="1" x14ac:dyDescent="0.25">
      <c r="A225" s="33" t="s">
        <v>484</v>
      </c>
      <c r="B225" s="51" t="s">
        <v>648</v>
      </c>
      <c r="C225" s="35" t="s">
        <v>649</v>
      </c>
      <c r="D225" s="92" t="s">
        <v>650</v>
      </c>
      <c r="E225" s="37" t="s">
        <v>54</v>
      </c>
      <c r="F225" s="38" t="s">
        <v>55</v>
      </c>
      <c r="G225" s="84"/>
      <c r="H225" s="40" t="s">
        <v>56</v>
      </c>
      <c r="I225" s="42"/>
      <c r="J225" s="39"/>
      <c r="K225" s="42"/>
      <c r="L225" s="42">
        <v>0</v>
      </c>
      <c r="M225" s="50"/>
      <c r="N225" s="39"/>
      <c r="O225" s="39"/>
      <c r="P225" s="42">
        <v>0</v>
      </c>
      <c r="Q225" s="52"/>
      <c r="S225" s="39"/>
      <c r="T225" s="39"/>
      <c r="U225" s="39"/>
      <c r="V225" s="39"/>
      <c r="W225" s="39"/>
      <c r="X225" s="39"/>
      <c r="Y225" s="39"/>
      <c r="Z225" s="39"/>
      <c r="AA225" s="39"/>
      <c r="AB225" s="39"/>
      <c r="AC225" s="39"/>
      <c r="AD225" s="39"/>
      <c r="AE225" s="39"/>
      <c r="AF225" s="39"/>
      <c r="AG225" s="39"/>
      <c r="AH225" s="39"/>
      <c r="AI225" s="39"/>
      <c r="AJ225" s="39"/>
      <c r="AK225" s="39"/>
      <c r="AL225" s="39"/>
      <c r="AM225" s="39"/>
      <c r="AN225" s="39"/>
      <c r="AO225" s="39"/>
      <c r="AP225" s="39"/>
      <c r="AQ225" s="39"/>
      <c r="AR225" s="39"/>
      <c r="AS225" s="39"/>
      <c r="AT225" s="39"/>
      <c r="AU225" s="39"/>
      <c r="AV225" s="39"/>
      <c r="AW225" s="39"/>
    </row>
    <row r="226" spans="1:49" s="48" customFormat="1" ht="12.75" customHeight="1" x14ac:dyDescent="0.25">
      <c r="A226" s="33" t="s">
        <v>484</v>
      </c>
      <c r="B226" s="51" t="s">
        <v>651</v>
      </c>
      <c r="C226" s="35" t="s">
        <v>652</v>
      </c>
      <c r="D226" s="92" t="s">
        <v>653</v>
      </c>
      <c r="E226" s="37" t="s">
        <v>54</v>
      </c>
      <c r="F226" s="38" t="s">
        <v>55</v>
      </c>
      <c r="G226" s="84"/>
      <c r="H226" s="40" t="s">
        <v>56</v>
      </c>
      <c r="I226" s="42"/>
      <c r="J226" s="39"/>
      <c r="K226" s="42"/>
      <c r="L226" s="42">
        <v>0</v>
      </c>
      <c r="M226" s="50"/>
      <c r="N226" s="39"/>
      <c r="O226" s="39"/>
      <c r="P226" s="42">
        <v>0</v>
      </c>
      <c r="Q226" s="52"/>
      <c r="S226" s="39"/>
      <c r="T226" s="39"/>
      <c r="U226" s="39"/>
      <c r="V226" s="39"/>
      <c r="W226" s="39"/>
      <c r="X226" s="39"/>
      <c r="Y226" s="39"/>
      <c r="Z226" s="39"/>
      <c r="AA226" s="39"/>
      <c r="AB226" s="39"/>
      <c r="AC226" s="39"/>
      <c r="AD226" s="39"/>
      <c r="AE226" s="39"/>
      <c r="AF226" s="39"/>
      <c r="AG226" s="39"/>
      <c r="AH226" s="39"/>
      <c r="AI226" s="39"/>
      <c r="AJ226" s="39"/>
      <c r="AK226" s="39"/>
      <c r="AL226" s="39"/>
      <c r="AM226" s="39"/>
      <c r="AN226" s="39"/>
      <c r="AO226" s="39"/>
      <c r="AP226" s="39"/>
      <c r="AQ226" s="39"/>
      <c r="AR226" s="39"/>
      <c r="AS226" s="39"/>
      <c r="AT226" s="39"/>
      <c r="AU226" s="39"/>
      <c r="AV226" s="39"/>
      <c r="AW226" s="39"/>
    </row>
    <row r="227" spans="1:49" s="48" customFormat="1" ht="12.75" customHeight="1" x14ac:dyDescent="0.25">
      <c r="A227" s="33" t="s">
        <v>484</v>
      </c>
      <c r="B227" s="51" t="s">
        <v>654</v>
      </c>
      <c r="C227" s="35" t="s">
        <v>655</v>
      </c>
      <c r="D227" s="92" t="s">
        <v>656</v>
      </c>
      <c r="E227" s="37" t="s">
        <v>54</v>
      </c>
      <c r="F227" s="38" t="s">
        <v>55</v>
      </c>
      <c r="G227" s="84"/>
      <c r="H227" s="40" t="s">
        <v>56</v>
      </c>
      <c r="I227" s="42"/>
      <c r="J227" s="39"/>
      <c r="K227" s="42"/>
      <c r="L227" s="42">
        <v>0</v>
      </c>
      <c r="M227" s="50"/>
      <c r="N227" s="39"/>
      <c r="O227" s="39"/>
      <c r="P227" s="42">
        <v>0</v>
      </c>
      <c r="Q227" s="52"/>
      <c r="S227" s="39"/>
      <c r="T227" s="39"/>
      <c r="U227" s="39"/>
      <c r="V227" s="39"/>
      <c r="W227" s="39"/>
      <c r="X227" s="39"/>
      <c r="Y227" s="39"/>
      <c r="Z227" s="39"/>
      <c r="AA227" s="39"/>
      <c r="AB227" s="39"/>
      <c r="AC227" s="39"/>
      <c r="AD227" s="39"/>
      <c r="AE227" s="39"/>
      <c r="AF227" s="39"/>
      <c r="AG227" s="39"/>
      <c r="AH227" s="39"/>
      <c r="AI227" s="39"/>
      <c r="AJ227" s="39"/>
      <c r="AK227" s="39"/>
      <c r="AL227" s="39"/>
      <c r="AM227" s="39"/>
      <c r="AN227" s="39"/>
      <c r="AO227" s="39"/>
      <c r="AP227" s="39"/>
      <c r="AQ227" s="39"/>
      <c r="AR227" s="39"/>
      <c r="AS227" s="39"/>
      <c r="AT227" s="39"/>
      <c r="AU227" s="39"/>
      <c r="AV227" s="39"/>
      <c r="AW227" s="39"/>
    </row>
    <row r="228" spans="1:49" s="48" customFormat="1" ht="12.75" customHeight="1" x14ac:dyDescent="0.25">
      <c r="A228" s="33" t="s">
        <v>484</v>
      </c>
      <c r="B228" s="51" t="s">
        <v>657</v>
      </c>
      <c r="C228" s="35" t="s">
        <v>658</v>
      </c>
      <c r="D228" s="92" t="s">
        <v>659</v>
      </c>
      <c r="E228" s="37" t="s">
        <v>54</v>
      </c>
      <c r="F228" s="38" t="s">
        <v>55</v>
      </c>
      <c r="G228" s="84"/>
      <c r="H228" s="40" t="s">
        <v>56</v>
      </c>
      <c r="I228" s="42"/>
      <c r="J228" s="39"/>
      <c r="K228" s="107"/>
      <c r="L228" s="42">
        <v>0</v>
      </c>
      <c r="M228" s="50"/>
      <c r="N228" s="39"/>
      <c r="O228" s="39"/>
      <c r="P228" s="42">
        <v>0</v>
      </c>
      <c r="Q228" s="52"/>
      <c r="S228" s="39"/>
      <c r="T228" s="39"/>
      <c r="U228" s="39"/>
      <c r="V228" s="39"/>
      <c r="W228" s="39"/>
      <c r="X228" s="39"/>
      <c r="Y228" s="39"/>
      <c r="Z228" s="39"/>
      <c r="AA228" s="39"/>
      <c r="AB228" s="39"/>
      <c r="AC228" s="39"/>
      <c r="AD228" s="39"/>
      <c r="AE228" s="39"/>
      <c r="AF228" s="39"/>
      <c r="AG228" s="39"/>
      <c r="AH228" s="39"/>
      <c r="AI228" s="39"/>
      <c r="AJ228" s="39"/>
      <c r="AK228" s="39"/>
      <c r="AL228" s="39"/>
      <c r="AM228" s="39"/>
      <c r="AN228" s="39"/>
      <c r="AO228" s="39"/>
      <c r="AP228" s="39"/>
      <c r="AQ228" s="39"/>
      <c r="AR228" s="39"/>
      <c r="AS228" s="39"/>
      <c r="AT228" s="39"/>
      <c r="AU228" s="39"/>
      <c r="AV228" s="39"/>
      <c r="AW228" s="39"/>
    </row>
    <row r="229" spans="1:49" s="48" customFormat="1" ht="12.75" customHeight="1" x14ac:dyDescent="0.25">
      <c r="A229" s="33" t="s">
        <v>484</v>
      </c>
      <c r="B229" s="51" t="s">
        <v>660</v>
      </c>
      <c r="C229" s="35" t="s">
        <v>661</v>
      </c>
      <c r="D229" s="92" t="s">
        <v>662</v>
      </c>
      <c r="E229" s="37" t="s">
        <v>54</v>
      </c>
      <c r="F229" s="38" t="s">
        <v>55</v>
      </c>
      <c r="G229" s="84"/>
      <c r="H229" s="40" t="s">
        <v>56</v>
      </c>
      <c r="I229" s="42"/>
      <c r="J229" s="39"/>
      <c r="K229" s="107"/>
      <c r="L229" s="42">
        <v>0</v>
      </c>
      <c r="M229" s="50"/>
      <c r="N229" s="39"/>
      <c r="O229" s="39"/>
      <c r="P229" s="42">
        <v>0</v>
      </c>
      <c r="Q229" s="52"/>
      <c r="S229" s="39"/>
      <c r="T229" s="39"/>
      <c r="U229" s="39"/>
      <c r="V229" s="39"/>
      <c r="W229" s="39"/>
      <c r="X229" s="39"/>
      <c r="Y229" s="39"/>
      <c r="Z229" s="39"/>
      <c r="AA229" s="39"/>
      <c r="AB229" s="39"/>
      <c r="AC229" s="39"/>
      <c r="AD229" s="39"/>
      <c r="AE229" s="39"/>
      <c r="AF229" s="39"/>
      <c r="AG229" s="39"/>
      <c r="AH229" s="39"/>
      <c r="AI229" s="39"/>
      <c r="AJ229" s="39"/>
      <c r="AK229" s="39"/>
      <c r="AL229" s="39"/>
      <c r="AM229" s="39"/>
      <c r="AN229" s="39"/>
      <c r="AO229" s="39"/>
      <c r="AP229" s="39"/>
      <c r="AQ229" s="39"/>
      <c r="AR229" s="39"/>
      <c r="AS229" s="39"/>
      <c r="AT229" s="39"/>
      <c r="AU229" s="39"/>
      <c r="AV229" s="39"/>
      <c r="AW229" s="39"/>
    </row>
    <row r="230" spans="1:49" s="48" customFormat="1" ht="12.75" customHeight="1" x14ac:dyDescent="0.25">
      <c r="A230" s="33" t="s">
        <v>484</v>
      </c>
      <c r="B230" s="51" t="s">
        <v>663</v>
      </c>
      <c r="C230" s="35" t="s">
        <v>664</v>
      </c>
      <c r="D230" s="92" t="s">
        <v>665</v>
      </c>
      <c r="E230" s="37" t="s">
        <v>54</v>
      </c>
      <c r="F230" s="38" t="s">
        <v>55</v>
      </c>
      <c r="G230" s="84"/>
      <c r="H230" s="40" t="s">
        <v>56</v>
      </c>
      <c r="I230" s="42"/>
      <c r="J230" s="39"/>
      <c r="K230" s="107"/>
      <c r="L230" s="42">
        <v>0</v>
      </c>
      <c r="M230" s="50"/>
      <c r="N230" s="39"/>
      <c r="O230" s="39"/>
      <c r="P230" s="42">
        <v>0</v>
      </c>
      <c r="Q230" s="52"/>
      <c r="S230" s="39"/>
      <c r="T230" s="39"/>
      <c r="U230" s="39"/>
      <c r="V230" s="39"/>
      <c r="W230" s="39"/>
      <c r="X230" s="39"/>
      <c r="Y230" s="39"/>
      <c r="Z230" s="39"/>
      <c r="AA230" s="39"/>
      <c r="AB230" s="39"/>
      <c r="AC230" s="39"/>
      <c r="AD230" s="39"/>
      <c r="AE230" s="39"/>
      <c r="AF230" s="39"/>
      <c r="AG230" s="39"/>
      <c r="AH230" s="39"/>
      <c r="AI230" s="39"/>
      <c r="AJ230" s="39"/>
      <c r="AK230" s="39"/>
      <c r="AL230" s="39"/>
      <c r="AM230" s="39"/>
      <c r="AN230" s="39"/>
      <c r="AO230" s="39"/>
      <c r="AP230" s="39"/>
      <c r="AQ230" s="39"/>
      <c r="AR230" s="39"/>
      <c r="AS230" s="39"/>
      <c r="AT230" s="39"/>
      <c r="AU230" s="39"/>
      <c r="AV230" s="39"/>
      <c r="AW230" s="39"/>
    </row>
    <row r="231" spans="1:49" s="48" customFormat="1" ht="12.75" customHeight="1" x14ac:dyDescent="0.25">
      <c r="A231" s="33" t="s">
        <v>484</v>
      </c>
      <c r="B231" s="51" t="s">
        <v>666</v>
      </c>
      <c r="C231" s="35" t="s">
        <v>667</v>
      </c>
      <c r="D231" s="92" t="s">
        <v>668</v>
      </c>
      <c r="E231" s="37" t="s">
        <v>54</v>
      </c>
      <c r="F231" s="38" t="s">
        <v>55</v>
      </c>
      <c r="G231" s="84"/>
      <c r="H231" s="40" t="s">
        <v>56</v>
      </c>
      <c r="I231" s="42"/>
      <c r="J231" s="39"/>
      <c r="K231" s="107"/>
      <c r="L231" s="42">
        <v>0</v>
      </c>
      <c r="M231" s="50"/>
      <c r="N231" s="39"/>
      <c r="O231" s="39"/>
      <c r="P231" s="42">
        <v>0</v>
      </c>
      <c r="Q231" s="52"/>
      <c r="S231" s="39"/>
      <c r="T231" s="39"/>
      <c r="U231" s="39"/>
      <c r="V231" s="39"/>
      <c r="W231" s="39"/>
      <c r="X231" s="39"/>
      <c r="Y231" s="39"/>
      <c r="Z231" s="39"/>
      <c r="AA231" s="39"/>
      <c r="AB231" s="39"/>
      <c r="AC231" s="39"/>
      <c r="AD231" s="39"/>
      <c r="AE231" s="39"/>
      <c r="AF231" s="39"/>
      <c r="AG231" s="39"/>
      <c r="AH231" s="39"/>
      <c r="AI231" s="39"/>
      <c r="AJ231" s="39"/>
      <c r="AK231" s="39"/>
      <c r="AL231" s="39"/>
      <c r="AM231" s="39"/>
      <c r="AN231" s="39"/>
      <c r="AO231" s="39"/>
      <c r="AP231" s="39"/>
      <c r="AQ231" s="39"/>
      <c r="AR231" s="39"/>
      <c r="AS231" s="39"/>
      <c r="AT231" s="39"/>
      <c r="AU231" s="39"/>
      <c r="AV231" s="39"/>
      <c r="AW231" s="39"/>
    </row>
    <row r="232" spans="1:49" s="48" customFormat="1" ht="12.75" customHeight="1" x14ac:dyDescent="0.25">
      <c r="A232" s="33" t="s">
        <v>484</v>
      </c>
      <c r="B232" s="51" t="s">
        <v>669</v>
      </c>
      <c r="C232" s="35" t="s">
        <v>670</v>
      </c>
      <c r="D232" s="92" t="s">
        <v>671</v>
      </c>
      <c r="E232" s="37" t="s">
        <v>54</v>
      </c>
      <c r="F232" s="38" t="s">
        <v>55</v>
      </c>
      <c r="G232" s="84"/>
      <c r="H232" s="40" t="s">
        <v>56</v>
      </c>
      <c r="I232" s="42"/>
      <c r="J232" s="39"/>
      <c r="K232" s="107"/>
      <c r="L232" s="42">
        <v>0</v>
      </c>
      <c r="M232" s="50"/>
      <c r="N232" s="39"/>
      <c r="O232" s="39"/>
      <c r="P232" s="42">
        <v>0</v>
      </c>
      <c r="Q232" s="52"/>
      <c r="S232" s="39"/>
      <c r="T232" s="39"/>
      <c r="U232" s="39"/>
      <c r="V232" s="39"/>
      <c r="W232" s="39"/>
      <c r="X232" s="39"/>
      <c r="Y232" s="39"/>
      <c r="Z232" s="39"/>
      <c r="AA232" s="39"/>
      <c r="AB232" s="39"/>
      <c r="AC232" s="39"/>
      <c r="AD232" s="39"/>
      <c r="AE232" s="39"/>
      <c r="AF232" s="39"/>
      <c r="AG232" s="39"/>
      <c r="AH232" s="39"/>
      <c r="AI232" s="39"/>
      <c r="AJ232" s="39"/>
      <c r="AK232" s="39"/>
      <c r="AL232" s="39"/>
      <c r="AM232" s="39"/>
      <c r="AN232" s="39"/>
      <c r="AO232" s="39"/>
      <c r="AP232" s="39"/>
      <c r="AQ232" s="39"/>
      <c r="AR232" s="39"/>
      <c r="AS232" s="39"/>
      <c r="AT232" s="39"/>
      <c r="AU232" s="39"/>
      <c r="AV232" s="39"/>
      <c r="AW232" s="39"/>
    </row>
    <row r="233" spans="1:49" s="48" customFormat="1" ht="12.75" customHeight="1" x14ac:dyDescent="0.25">
      <c r="A233" s="33" t="s">
        <v>484</v>
      </c>
      <c r="B233" s="51"/>
      <c r="C233" s="35" t="s">
        <v>672</v>
      </c>
      <c r="D233" s="92" t="s">
        <v>673</v>
      </c>
      <c r="E233" s="37" t="s">
        <v>54</v>
      </c>
      <c r="F233" s="38" t="s">
        <v>55</v>
      </c>
      <c r="G233" s="84"/>
      <c r="H233" s="40" t="s">
        <v>56</v>
      </c>
      <c r="I233" s="42"/>
      <c r="J233" s="39"/>
      <c r="K233" s="107"/>
      <c r="L233" s="42">
        <v>0</v>
      </c>
      <c r="M233" s="50"/>
      <c r="N233" s="39"/>
      <c r="O233" s="39"/>
      <c r="P233" s="42">
        <v>0</v>
      </c>
      <c r="Q233" s="52"/>
      <c r="S233" s="39"/>
      <c r="T233" s="39"/>
      <c r="U233" s="39"/>
      <c r="V233" s="39"/>
      <c r="W233" s="39"/>
      <c r="X233" s="39"/>
      <c r="Y233" s="39"/>
      <c r="Z233" s="39"/>
      <c r="AA233" s="39"/>
      <c r="AB233" s="39"/>
      <c r="AC233" s="39"/>
      <c r="AD233" s="39"/>
      <c r="AE233" s="39"/>
      <c r="AF233" s="39"/>
      <c r="AG233" s="39"/>
      <c r="AH233" s="39"/>
      <c r="AI233" s="39"/>
      <c r="AJ233" s="39"/>
      <c r="AK233" s="39"/>
      <c r="AL233" s="39"/>
      <c r="AM233" s="39"/>
      <c r="AN233" s="39"/>
      <c r="AO233" s="39"/>
      <c r="AP233" s="39"/>
      <c r="AQ233" s="39"/>
      <c r="AR233" s="39"/>
      <c r="AS233" s="39"/>
      <c r="AT233" s="39"/>
      <c r="AU233" s="39"/>
      <c r="AV233" s="39"/>
      <c r="AW233" s="39"/>
    </row>
    <row r="234" spans="1:49" s="64" customFormat="1" ht="12.75" customHeight="1" x14ac:dyDescent="0.25">
      <c r="A234" s="14" t="s">
        <v>484</v>
      </c>
      <c r="B234" s="15">
        <v>28243979</v>
      </c>
      <c r="C234" s="56" t="s">
        <v>674</v>
      </c>
      <c r="D234" s="80" t="s">
        <v>675</v>
      </c>
      <c r="E234" s="18" t="s">
        <v>958</v>
      </c>
      <c r="F234" s="58"/>
      <c r="G234" s="87"/>
      <c r="H234" s="87"/>
      <c r="I234" s="42"/>
      <c r="J234" s="20">
        <f>SUM(J235:J247)</f>
        <v>340</v>
      </c>
      <c r="K234" s="20">
        <v>140.10846774193499</v>
      </c>
      <c r="L234" s="22">
        <f>SUM(L235:L247)</f>
        <v>47636.879032258053</v>
      </c>
      <c r="M234" s="88"/>
      <c r="N234" s="65"/>
      <c r="O234" s="65"/>
      <c r="P234" s="62"/>
      <c r="R234" s="48"/>
      <c r="S234" s="65"/>
      <c r="T234" s="65"/>
      <c r="U234" s="65"/>
      <c r="V234" s="65"/>
      <c r="W234" s="65"/>
      <c r="X234" s="65"/>
      <c r="Y234" s="65"/>
      <c r="Z234" s="65"/>
      <c r="AA234" s="65"/>
      <c r="AB234" s="65"/>
      <c r="AC234" s="65"/>
      <c r="AD234" s="65"/>
      <c r="AE234" s="65"/>
      <c r="AF234" s="65"/>
      <c r="AG234" s="65"/>
      <c r="AH234" s="65"/>
      <c r="AI234" s="65"/>
      <c r="AJ234" s="65"/>
      <c r="AK234" s="65"/>
      <c r="AL234" s="65"/>
      <c r="AM234" s="65"/>
      <c r="AN234" s="65"/>
      <c r="AO234" s="65"/>
      <c r="AP234" s="65"/>
      <c r="AQ234" s="65"/>
      <c r="AR234" s="65"/>
      <c r="AS234" s="65"/>
      <c r="AT234" s="65"/>
      <c r="AU234" s="65"/>
      <c r="AV234" s="65"/>
      <c r="AW234" s="65"/>
    </row>
    <row r="235" spans="1:49" s="112" customFormat="1" ht="15" x14ac:dyDescent="0.25">
      <c r="A235" s="33" t="s">
        <v>484</v>
      </c>
      <c r="B235" s="108" t="s">
        <v>676</v>
      </c>
      <c r="C235" s="35" t="s">
        <v>677</v>
      </c>
      <c r="D235" s="104" t="s">
        <v>678</v>
      </c>
      <c r="E235" s="37" t="s">
        <v>54</v>
      </c>
      <c r="F235" s="38" t="s">
        <v>55</v>
      </c>
      <c r="G235" s="109"/>
      <c r="H235" s="40" t="s">
        <v>56</v>
      </c>
      <c r="I235" s="42"/>
      <c r="J235" s="110">
        <v>0</v>
      </c>
      <c r="K235" s="42">
        <v>140.10846774193547</v>
      </c>
      <c r="L235" s="42">
        <v>0</v>
      </c>
      <c r="M235" s="111"/>
      <c r="N235" s="41"/>
      <c r="O235" s="41"/>
      <c r="P235" s="42">
        <v>0</v>
      </c>
      <c r="R235" s="48"/>
      <c r="S235" s="41"/>
      <c r="T235" s="41"/>
      <c r="U235" s="41"/>
      <c r="V235" s="41"/>
      <c r="W235" s="41"/>
      <c r="X235" s="41"/>
      <c r="Y235" s="41"/>
      <c r="Z235" s="41"/>
      <c r="AA235" s="41"/>
      <c r="AB235" s="41"/>
      <c r="AC235" s="41"/>
      <c r="AD235" s="41"/>
      <c r="AE235" s="41"/>
      <c r="AF235" s="41"/>
      <c r="AG235" s="41"/>
      <c r="AH235" s="41"/>
      <c r="AI235" s="41"/>
      <c r="AJ235" s="41"/>
      <c r="AK235" s="41"/>
      <c r="AL235" s="41"/>
      <c r="AM235" s="41"/>
      <c r="AN235" s="41"/>
      <c r="AO235" s="41"/>
      <c r="AP235" s="41"/>
      <c r="AQ235" s="41"/>
      <c r="AR235" s="41"/>
      <c r="AS235" s="41"/>
      <c r="AT235" s="41"/>
      <c r="AU235" s="41"/>
      <c r="AV235" s="41"/>
      <c r="AW235" s="41"/>
    </row>
    <row r="236" spans="1:49" s="48" customFormat="1" ht="12.75" customHeight="1" x14ac:dyDescent="0.25">
      <c r="A236" s="33" t="s">
        <v>484</v>
      </c>
      <c r="B236" s="51" t="s">
        <v>679</v>
      </c>
      <c r="C236" s="35" t="s">
        <v>680</v>
      </c>
      <c r="D236" s="102" t="s">
        <v>681</v>
      </c>
      <c r="E236" s="37" t="s">
        <v>54</v>
      </c>
      <c r="F236" s="38" t="s">
        <v>55</v>
      </c>
      <c r="G236" s="84"/>
      <c r="H236" s="40" t="s">
        <v>56</v>
      </c>
      <c r="I236" s="42"/>
      <c r="J236" s="39">
        <v>14</v>
      </c>
      <c r="K236" s="42">
        <v>140.10846774193547</v>
      </c>
      <c r="L236" s="42">
        <v>1961.5185483870966</v>
      </c>
      <c r="M236" s="50"/>
      <c r="N236" s="39"/>
      <c r="O236" s="39"/>
      <c r="P236" s="42">
        <v>0</v>
      </c>
      <c r="Q236" s="52"/>
      <c r="S236" s="39"/>
      <c r="T236" s="39"/>
      <c r="U236" s="39"/>
      <c r="V236" s="39"/>
      <c r="W236" s="39"/>
      <c r="X236" s="39"/>
      <c r="Y236" s="39"/>
      <c r="Z236" s="39"/>
      <c r="AA236" s="39"/>
      <c r="AB236" s="39"/>
      <c r="AC236" s="39"/>
      <c r="AD236" s="39"/>
      <c r="AE236" s="39"/>
      <c r="AF236" s="39"/>
      <c r="AG236" s="39"/>
      <c r="AH236" s="39"/>
      <c r="AI236" s="39"/>
      <c r="AJ236" s="39"/>
      <c r="AK236" s="39"/>
      <c r="AL236" s="39"/>
      <c r="AM236" s="39"/>
      <c r="AN236" s="39"/>
      <c r="AO236" s="39"/>
      <c r="AP236" s="39"/>
      <c r="AQ236" s="39"/>
      <c r="AR236" s="39"/>
      <c r="AS236" s="39"/>
      <c r="AT236" s="39"/>
      <c r="AU236" s="39"/>
      <c r="AV236" s="39"/>
      <c r="AW236" s="39"/>
    </row>
    <row r="237" spans="1:49" s="48" customFormat="1" ht="12.75" customHeight="1" x14ac:dyDescent="0.25">
      <c r="A237" s="33" t="s">
        <v>484</v>
      </c>
      <c r="B237" s="51" t="s">
        <v>682</v>
      </c>
      <c r="C237" s="35" t="s">
        <v>683</v>
      </c>
      <c r="D237" s="102" t="s">
        <v>684</v>
      </c>
      <c r="E237" s="37" t="s">
        <v>54</v>
      </c>
      <c r="F237" s="38" t="s">
        <v>55</v>
      </c>
      <c r="G237" s="84"/>
      <c r="H237" s="40" t="s">
        <v>56</v>
      </c>
      <c r="I237" s="42"/>
      <c r="J237" s="39">
        <v>24</v>
      </c>
      <c r="K237" s="42">
        <v>140.10846774193547</v>
      </c>
      <c r="L237" s="42">
        <v>3362.6032258064515</v>
      </c>
      <c r="M237" s="50"/>
      <c r="N237" s="39"/>
      <c r="O237" s="39"/>
      <c r="P237" s="42">
        <v>0</v>
      </c>
      <c r="Q237" s="52"/>
      <c r="S237" s="39"/>
      <c r="T237" s="39"/>
      <c r="U237" s="39"/>
      <c r="V237" s="39"/>
      <c r="W237" s="39"/>
      <c r="X237" s="39"/>
      <c r="Y237" s="39"/>
      <c r="Z237" s="39"/>
      <c r="AA237" s="39"/>
      <c r="AB237" s="39"/>
      <c r="AC237" s="39"/>
      <c r="AD237" s="39"/>
      <c r="AE237" s="39"/>
      <c r="AF237" s="39"/>
      <c r="AG237" s="39"/>
      <c r="AH237" s="39"/>
      <c r="AI237" s="39"/>
      <c r="AJ237" s="39"/>
      <c r="AK237" s="39"/>
      <c r="AL237" s="39"/>
      <c r="AM237" s="39"/>
      <c r="AN237" s="39"/>
      <c r="AO237" s="39"/>
      <c r="AP237" s="39"/>
      <c r="AQ237" s="39"/>
      <c r="AR237" s="39"/>
      <c r="AS237" s="39"/>
      <c r="AT237" s="39"/>
      <c r="AU237" s="39"/>
      <c r="AV237" s="39"/>
      <c r="AW237" s="39"/>
    </row>
    <row r="238" spans="1:49" s="48" customFormat="1" ht="12.75" customHeight="1" x14ac:dyDescent="0.25">
      <c r="A238" s="33" t="s">
        <v>484</v>
      </c>
      <c r="B238" s="51" t="s">
        <v>685</v>
      </c>
      <c r="C238" s="35" t="s">
        <v>686</v>
      </c>
      <c r="D238" s="102" t="s">
        <v>687</v>
      </c>
      <c r="E238" s="37" t="s">
        <v>54</v>
      </c>
      <c r="F238" s="38" t="s">
        <v>55</v>
      </c>
      <c r="G238" s="84"/>
      <c r="H238" s="40" t="s">
        <v>56</v>
      </c>
      <c r="I238" s="42"/>
      <c r="J238" s="39">
        <v>30</v>
      </c>
      <c r="K238" s="42">
        <v>140.10846774193547</v>
      </c>
      <c r="L238" s="42">
        <v>4203.2540322580644</v>
      </c>
      <c r="M238" s="50"/>
      <c r="N238" s="39"/>
      <c r="O238" s="39"/>
      <c r="P238" s="42">
        <v>0</v>
      </c>
      <c r="Q238" s="52"/>
      <c r="S238" s="39"/>
      <c r="T238" s="39"/>
      <c r="U238" s="39"/>
      <c r="V238" s="39"/>
      <c r="W238" s="39"/>
      <c r="X238" s="39"/>
      <c r="Y238" s="39"/>
      <c r="Z238" s="39"/>
      <c r="AA238" s="39"/>
      <c r="AB238" s="39"/>
      <c r="AC238" s="39"/>
      <c r="AD238" s="39"/>
      <c r="AE238" s="39"/>
      <c r="AF238" s="39"/>
      <c r="AG238" s="39"/>
      <c r="AH238" s="39"/>
      <c r="AI238" s="39"/>
      <c r="AJ238" s="39"/>
      <c r="AK238" s="39"/>
      <c r="AL238" s="39"/>
      <c r="AM238" s="39"/>
      <c r="AN238" s="39"/>
      <c r="AO238" s="39"/>
      <c r="AP238" s="39"/>
      <c r="AQ238" s="39"/>
      <c r="AR238" s="39"/>
      <c r="AS238" s="39"/>
      <c r="AT238" s="39"/>
      <c r="AU238" s="39"/>
      <c r="AV238" s="39"/>
      <c r="AW238" s="39"/>
    </row>
    <row r="239" spans="1:49" s="48" customFormat="1" ht="12.75" customHeight="1" x14ac:dyDescent="0.25">
      <c r="A239" s="33" t="s">
        <v>484</v>
      </c>
      <c r="B239" s="51" t="s">
        <v>688</v>
      </c>
      <c r="C239" s="35" t="s">
        <v>689</v>
      </c>
      <c r="D239" s="102" t="s">
        <v>690</v>
      </c>
      <c r="E239" s="37" t="s">
        <v>54</v>
      </c>
      <c r="F239" s="38" t="s">
        <v>55</v>
      </c>
      <c r="G239" s="84"/>
      <c r="H239" s="40" t="s">
        <v>56</v>
      </c>
      <c r="I239" s="42"/>
      <c r="J239" s="39">
        <v>30</v>
      </c>
      <c r="K239" s="42">
        <v>140.10846774193547</v>
      </c>
      <c r="L239" s="42">
        <v>4203.2540322580644</v>
      </c>
      <c r="M239" s="50"/>
      <c r="N239" s="39"/>
      <c r="O239" s="39"/>
      <c r="P239" s="42">
        <v>0</v>
      </c>
      <c r="Q239" s="52"/>
      <c r="S239" s="39"/>
      <c r="T239" s="39"/>
      <c r="U239" s="39"/>
      <c r="V239" s="39"/>
      <c r="W239" s="39"/>
      <c r="X239" s="39"/>
      <c r="Y239" s="39"/>
      <c r="Z239" s="39"/>
      <c r="AA239" s="39"/>
      <c r="AB239" s="39"/>
      <c r="AC239" s="39"/>
      <c r="AD239" s="39"/>
      <c r="AE239" s="39"/>
      <c r="AF239" s="39"/>
      <c r="AG239" s="39"/>
      <c r="AH239" s="39"/>
      <c r="AI239" s="39"/>
      <c r="AJ239" s="39"/>
      <c r="AK239" s="39"/>
      <c r="AL239" s="39"/>
      <c r="AM239" s="39"/>
      <c r="AN239" s="39"/>
      <c r="AO239" s="39"/>
      <c r="AP239" s="39"/>
      <c r="AQ239" s="39"/>
      <c r="AR239" s="39"/>
      <c r="AS239" s="39"/>
      <c r="AT239" s="39"/>
      <c r="AU239" s="39"/>
      <c r="AV239" s="39"/>
      <c r="AW239" s="39"/>
    </row>
    <row r="240" spans="1:49" s="48" customFormat="1" ht="12.75" customHeight="1" x14ac:dyDescent="0.25">
      <c r="A240" s="33" t="s">
        <v>484</v>
      </c>
      <c r="B240" s="51" t="s">
        <v>691</v>
      </c>
      <c r="C240" s="35" t="s">
        <v>692</v>
      </c>
      <c r="D240" s="102" t="s">
        <v>693</v>
      </c>
      <c r="E240" s="37" t="s">
        <v>54</v>
      </c>
      <c r="F240" s="38" t="s">
        <v>55</v>
      </c>
      <c r="G240" s="84"/>
      <c r="H240" s="40" t="s">
        <v>56</v>
      </c>
      <c r="I240" s="42"/>
      <c r="J240" s="39">
        <v>32</v>
      </c>
      <c r="K240" s="42">
        <v>140.10846774193547</v>
      </c>
      <c r="L240" s="42">
        <v>4483.4709677419351</v>
      </c>
      <c r="M240" s="50"/>
      <c r="N240" s="39"/>
      <c r="O240" s="39"/>
      <c r="P240" s="42">
        <v>0</v>
      </c>
      <c r="Q240" s="52"/>
      <c r="S240" s="39"/>
      <c r="T240" s="39"/>
      <c r="U240" s="39"/>
      <c r="V240" s="39"/>
      <c r="W240" s="39"/>
      <c r="X240" s="39"/>
      <c r="Y240" s="39"/>
      <c r="Z240" s="39"/>
      <c r="AA240" s="39"/>
      <c r="AB240" s="39"/>
      <c r="AC240" s="39"/>
      <c r="AD240" s="39"/>
      <c r="AE240" s="39"/>
      <c r="AF240" s="39"/>
      <c r="AG240" s="39"/>
      <c r="AH240" s="39"/>
      <c r="AI240" s="39"/>
      <c r="AJ240" s="39"/>
      <c r="AK240" s="39"/>
      <c r="AL240" s="39"/>
      <c r="AM240" s="39"/>
      <c r="AN240" s="39"/>
      <c r="AO240" s="39"/>
      <c r="AP240" s="39"/>
      <c r="AQ240" s="39"/>
      <c r="AR240" s="39"/>
      <c r="AS240" s="39"/>
      <c r="AT240" s="39"/>
      <c r="AU240" s="39"/>
      <c r="AV240" s="39"/>
      <c r="AW240" s="39"/>
    </row>
    <row r="241" spans="1:49" s="48" customFormat="1" ht="12.75" customHeight="1" x14ac:dyDescent="0.25">
      <c r="A241" s="33" t="s">
        <v>484</v>
      </c>
      <c r="B241" s="51" t="s">
        <v>694</v>
      </c>
      <c r="C241" s="35" t="s">
        <v>695</v>
      </c>
      <c r="D241" s="102" t="s">
        <v>696</v>
      </c>
      <c r="E241" s="37" t="s">
        <v>54</v>
      </c>
      <c r="F241" s="38" t="s">
        <v>55</v>
      </c>
      <c r="G241" s="84"/>
      <c r="H241" s="40" t="s">
        <v>697</v>
      </c>
      <c r="I241" s="42"/>
      <c r="J241" s="39">
        <v>20</v>
      </c>
      <c r="K241" s="42">
        <v>140.10846774193547</v>
      </c>
      <c r="L241" s="42">
        <v>2802.1693548387093</v>
      </c>
      <c r="M241" s="50"/>
      <c r="N241" s="39"/>
      <c r="O241" s="39"/>
      <c r="P241" s="42">
        <v>0</v>
      </c>
      <c r="Q241" s="52"/>
      <c r="S241" s="39"/>
      <c r="T241" s="39"/>
      <c r="U241" s="39"/>
      <c r="V241" s="39"/>
      <c r="W241" s="39"/>
      <c r="X241" s="39"/>
      <c r="Y241" s="39"/>
      <c r="Z241" s="39"/>
      <c r="AA241" s="39"/>
      <c r="AB241" s="39"/>
      <c r="AC241" s="39"/>
      <c r="AD241" s="39"/>
      <c r="AE241" s="39"/>
      <c r="AF241" s="39"/>
      <c r="AG241" s="39"/>
      <c r="AH241" s="39"/>
      <c r="AI241" s="39"/>
      <c r="AJ241" s="39"/>
      <c r="AK241" s="39"/>
      <c r="AL241" s="39"/>
      <c r="AM241" s="39"/>
      <c r="AN241" s="39"/>
      <c r="AO241" s="39"/>
      <c r="AP241" s="39"/>
      <c r="AQ241" s="39"/>
      <c r="AR241" s="39"/>
      <c r="AS241" s="39"/>
      <c r="AT241" s="39"/>
      <c r="AU241" s="39"/>
      <c r="AV241" s="39"/>
      <c r="AW241" s="39"/>
    </row>
    <row r="242" spans="1:49" s="48" customFormat="1" ht="12.75" customHeight="1" x14ac:dyDescent="0.25">
      <c r="A242" s="33" t="s">
        <v>484</v>
      </c>
      <c r="B242" s="51" t="s">
        <v>698</v>
      </c>
      <c r="C242" s="35" t="s">
        <v>699</v>
      </c>
      <c r="D242" s="102" t="s">
        <v>700</v>
      </c>
      <c r="E242" s="37" t="s">
        <v>54</v>
      </c>
      <c r="F242" s="38" t="s">
        <v>55</v>
      </c>
      <c r="G242" s="84"/>
      <c r="H242" s="40" t="s">
        <v>697</v>
      </c>
      <c r="I242" s="42"/>
      <c r="J242" s="39">
        <v>40</v>
      </c>
      <c r="K242" s="42">
        <v>140.10846774193547</v>
      </c>
      <c r="L242" s="42">
        <v>5604.3387096774186</v>
      </c>
      <c r="M242" s="50"/>
      <c r="N242" s="39"/>
      <c r="O242" s="39"/>
      <c r="P242" s="42">
        <v>0</v>
      </c>
      <c r="Q242" s="52"/>
      <c r="S242" s="39"/>
      <c r="T242" s="39"/>
      <c r="U242" s="39"/>
      <c r="V242" s="39"/>
      <c r="W242" s="39"/>
      <c r="X242" s="39"/>
      <c r="Y242" s="39"/>
      <c r="Z242" s="39"/>
      <c r="AA242" s="39"/>
      <c r="AB242" s="39"/>
      <c r="AC242" s="39"/>
      <c r="AD242" s="39"/>
      <c r="AE242" s="39"/>
      <c r="AF242" s="39"/>
      <c r="AG242" s="39"/>
      <c r="AH242" s="39"/>
      <c r="AI242" s="39"/>
      <c r="AJ242" s="39"/>
      <c r="AK242" s="39"/>
      <c r="AL242" s="39"/>
      <c r="AM242" s="39"/>
      <c r="AN242" s="39"/>
      <c r="AO242" s="39"/>
      <c r="AP242" s="39"/>
      <c r="AQ242" s="39"/>
      <c r="AR242" s="39"/>
      <c r="AS242" s="39"/>
      <c r="AT242" s="39"/>
      <c r="AU242" s="39"/>
      <c r="AV242" s="39"/>
      <c r="AW242" s="39"/>
    </row>
    <row r="243" spans="1:49" s="48" customFormat="1" ht="12.75" customHeight="1" x14ac:dyDescent="0.25">
      <c r="A243" s="33" t="s">
        <v>484</v>
      </c>
      <c r="B243" s="51" t="s">
        <v>701</v>
      </c>
      <c r="C243" s="35" t="s">
        <v>702</v>
      </c>
      <c r="D243" s="102" t="s">
        <v>703</v>
      </c>
      <c r="E243" s="37" t="s">
        <v>54</v>
      </c>
      <c r="F243" s="38" t="s">
        <v>55</v>
      </c>
      <c r="G243" s="84"/>
      <c r="H243" s="40" t="s">
        <v>56</v>
      </c>
      <c r="I243" s="42"/>
      <c r="J243" s="39">
        <v>12</v>
      </c>
      <c r="K243" s="42">
        <v>140.10846774193547</v>
      </c>
      <c r="L243" s="42">
        <v>1681.3016129032258</v>
      </c>
      <c r="M243" s="50"/>
      <c r="N243" s="39"/>
      <c r="O243" s="39"/>
      <c r="P243" s="42">
        <v>0</v>
      </c>
      <c r="Q243" s="52"/>
      <c r="S243" s="39"/>
      <c r="T243" s="39"/>
      <c r="U243" s="39"/>
      <c r="V243" s="39"/>
      <c r="W243" s="39"/>
      <c r="X243" s="39"/>
      <c r="Y243" s="39"/>
      <c r="Z243" s="39"/>
      <c r="AA243" s="39"/>
      <c r="AB243" s="39"/>
      <c r="AC243" s="39"/>
      <c r="AD243" s="39"/>
      <c r="AE243" s="39"/>
      <c r="AF243" s="39"/>
      <c r="AG243" s="39"/>
      <c r="AH243" s="39"/>
      <c r="AI243" s="39"/>
      <c r="AJ243" s="39"/>
      <c r="AK243" s="39"/>
      <c r="AL243" s="39"/>
      <c r="AM243" s="39"/>
      <c r="AN243" s="39"/>
      <c r="AO243" s="39"/>
      <c r="AP243" s="39"/>
      <c r="AQ243" s="39"/>
      <c r="AR243" s="39"/>
      <c r="AS243" s="39"/>
      <c r="AT243" s="39"/>
      <c r="AU243" s="39"/>
      <c r="AV243" s="39"/>
      <c r="AW243" s="39"/>
    </row>
    <row r="244" spans="1:49" s="48" customFormat="1" ht="12.75" customHeight="1" x14ac:dyDescent="0.25">
      <c r="A244" s="33" t="s">
        <v>484</v>
      </c>
      <c r="B244" s="51" t="s">
        <v>704</v>
      </c>
      <c r="C244" s="35" t="s">
        <v>705</v>
      </c>
      <c r="D244" s="102" t="s">
        <v>706</v>
      </c>
      <c r="E244" s="37" t="s">
        <v>54</v>
      </c>
      <c r="F244" s="38" t="s">
        <v>55</v>
      </c>
      <c r="G244" s="84"/>
      <c r="H244" s="40" t="s">
        <v>56</v>
      </c>
      <c r="I244" s="42"/>
      <c r="J244" s="39">
        <v>40</v>
      </c>
      <c r="K244" s="42">
        <v>140.10846774193547</v>
      </c>
      <c r="L244" s="42">
        <v>5604.3387096774186</v>
      </c>
      <c r="M244" s="50"/>
      <c r="N244" s="39"/>
      <c r="O244" s="39"/>
      <c r="P244" s="42">
        <v>0</v>
      </c>
      <c r="Q244" s="52"/>
      <c r="S244" s="39"/>
      <c r="T244" s="39"/>
      <c r="U244" s="39"/>
      <c r="V244" s="39"/>
      <c r="W244" s="39"/>
      <c r="X244" s="39"/>
      <c r="Y244" s="39"/>
      <c r="Z244" s="39"/>
      <c r="AA244" s="39"/>
      <c r="AB244" s="39"/>
      <c r="AC244" s="39"/>
      <c r="AD244" s="39"/>
      <c r="AE244" s="39"/>
      <c r="AF244" s="39"/>
      <c r="AG244" s="39"/>
      <c r="AH244" s="39"/>
      <c r="AI244" s="39"/>
      <c r="AJ244" s="39"/>
      <c r="AK244" s="39"/>
      <c r="AL244" s="39"/>
      <c r="AM244" s="39"/>
      <c r="AN244" s="39"/>
      <c r="AO244" s="39"/>
      <c r="AP244" s="39"/>
      <c r="AQ244" s="39"/>
      <c r="AR244" s="39"/>
      <c r="AS244" s="39"/>
      <c r="AT244" s="39"/>
      <c r="AU244" s="39"/>
      <c r="AV244" s="39"/>
      <c r="AW244" s="39"/>
    </row>
    <row r="245" spans="1:49" s="48" customFormat="1" ht="12.75" customHeight="1" x14ac:dyDescent="0.25">
      <c r="A245" s="33" t="s">
        <v>484</v>
      </c>
      <c r="B245" s="51" t="s">
        <v>707</v>
      </c>
      <c r="C245" s="35" t="s">
        <v>708</v>
      </c>
      <c r="D245" s="102" t="s">
        <v>709</v>
      </c>
      <c r="E245" s="37" t="s">
        <v>54</v>
      </c>
      <c r="F245" s="38" t="s">
        <v>55</v>
      </c>
      <c r="G245" s="84"/>
      <c r="H245" s="40" t="s">
        <v>56</v>
      </c>
      <c r="I245" s="42"/>
      <c r="J245" s="39">
        <v>40</v>
      </c>
      <c r="K245" s="42">
        <v>140.10846774193547</v>
      </c>
      <c r="L245" s="42">
        <v>5604.3387096774186</v>
      </c>
      <c r="M245" s="50"/>
      <c r="N245" s="39"/>
      <c r="O245" s="39"/>
      <c r="P245" s="42">
        <v>0</v>
      </c>
      <c r="Q245" s="52"/>
      <c r="S245" s="39"/>
      <c r="T245" s="39"/>
      <c r="U245" s="39"/>
      <c r="V245" s="39"/>
      <c r="W245" s="39"/>
      <c r="X245" s="39"/>
      <c r="Y245" s="39"/>
      <c r="Z245" s="39"/>
      <c r="AA245" s="39"/>
      <c r="AB245" s="39"/>
      <c r="AC245" s="39"/>
      <c r="AD245" s="39"/>
      <c r="AE245" s="39"/>
      <c r="AF245" s="39"/>
      <c r="AG245" s="39"/>
      <c r="AH245" s="39"/>
      <c r="AI245" s="39"/>
      <c r="AJ245" s="39"/>
      <c r="AK245" s="39"/>
      <c r="AL245" s="39"/>
      <c r="AM245" s="39"/>
      <c r="AN245" s="39"/>
      <c r="AO245" s="39"/>
      <c r="AP245" s="39"/>
      <c r="AQ245" s="39"/>
      <c r="AR245" s="39"/>
      <c r="AS245" s="39"/>
      <c r="AT245" s="39"/>
      <c r="AU245" s="39"/>
      <c r="AV245" s="39"/>
      <c r="AW245" s="39"/>
    </row>
    <row r="246" spans="1:49" s="48" customFormat="1" ht="12.75" customHeight="1" x14ac:dyDescent="0.25">
      <c r="A246" s="33" t="s">
        <v>484</v>
      </c>
      <c r="B246" s="51" t="s">
        <v>710</v>
      </c>
      <c r="C246" s="35" t="s">
        <v>711</v>
      </c>
      <c r="D246" s="102" t="s">
        <v>712</v>
      </c>
      <c r="E246" s="37" t="s">
        <v>54</v>
      </c>
      <c r="F246" s="38" t="s">
        <v>55</v>
      </c>
      <c r="G246" s="84"/>
      <c r="H246" s="40" t="s">
        <v>56</v>
      </c>
      <c r="I246" s="42"/>
      <c r="J246" s="39">
        <v>38</v>
      </c>
      <c r="K246" s="42">
        <v>140.10846774193547</v>
      </c>
      <c r="L246" s="42">
        <v>5324.1217741935479</v>
      </c>
      <c r="M246" s="50"/>
      <c r="N246" s="39"/>
      <c r="O246" s="39"/>
      <c r="P246" s="42">
        <v>0</v>
      </c>
      <c r="Q246" s="52"/>
      <c r="S246" s="39"/>
      <c r="T246" s="39"/>
      <c r="U246" s="39"/>
      <c r="V246" s="39"/>
      <c r="W246" s="39"/>
      <c r="X246" s="39"/>
      <c r="Y246" s="39"/>
      <c r="Z246" s="39"/>
      <c r="AA246" s="39"/>
      <c r="AB246" s="39"/>
      <c r="AC246" s="39"/>
      <c r="AD246" s="39"/>
      <c r="AE246" s="39"/>
      <c r="AF246" s="39"/>
      <c r="AG246" s="39"/>
      <c r="AH246" s="39"/>
      <c r="AI246" s="39"/>
      <c r="AJ246" s="39"/>
      <c r="AK246" s="39"/>
      <c r="AL246" s="39"/>
      <c r="AM246" s="39"/>
      <c r="AN246" s="39"/>
      <c r="AO246" s="39"/>
      <c r="AP246" s="39"/>
      <c r="AQ246" s="39"/>
      <c r="AR246" s="39"/>
      <c r="AS246" s="39"/>
      <c r="AT246" s="39"/>
      <c r="AU246" s="39"/>
      <c r="AV246" s="39"/>
      <c r="AW246" s="39"/>
    </row>
    <row r="247" spans="1:49" s="48" customFormat="1" ht="12.75" customHeight="1" x14ac:dyDescent="0.25">
      <c r="A247" s="33" t="s">
        <v>484</v>
      </c>
      <c r="B247" s="51" t="s">
        <v>713</v>
      </c>
      <c r="C247" s="35" t="s">
        <v>714</v>
      </c>
      <c r="D247" s="102" t="s">
        <v>715</v>
      </c>
      <c r="E247" s="37" t="s">
        <v>54</v>
      </c>
      <c r="F247" s="38" t="s">
        <v>55</v>
      </c>
      <c r="G247" s="84"/>
      <c r="H247" s="40" t="s">
        <v>56</v>
      </c>
      <c r="I247" s="42"/>
      <c r="J247" s="39">
        <v>20</v>
      </c>
      <c r="K247" s="42">
        <v>140.10846774193547</v>
      </c>
      <c r="L247" s="42">
        <v>2802.1693548387093</v>
      </c>
      <c r="M247" s="50"/>
      <c r="N247" s="39"/>
      <c r="O247" s="39"/>
      <c r="P247" s="42">
        <v>0</v>
      </c>
      <c r="Q247" s="52"/>
      <c r="S247" s="39"/>
      <c r="T247" s="39"/>
      <c r="U247" s="39"/>
      <c r="V247" s="39"/>
      <c r="W247" s="39"/>
      <c r="X247" s="39"/>
      <c r="Y247" s="39"/>
      <c r="Z247" s="39"/>
      <c r="AA247" s="39"/>
      <c r="AB247" s="39"/>
      <c r="AC247" s="39"/>
      <c r="AD247" s="39"/>
      <c r="AE247" s="39"/>
      <c r="AF247" s="39"/>
      <c r="AG247" s="39"/>
      <c r="AH247" s="39"/>
      <c r="AI247" s="39"/>
      <c r="AJ247" s="39"/>
      <c r="AK247" s="39"/>
      <c r="AL247" s="39"/>
      <c r="AM247" s="39"/>
      <c r="AN247" s="39"/>
      <c r="AO247" s="39"/>
      <c r="AP247" s="39"/>
      <c r="AQ247" s="39"/>
      <c r="AR247" s="39"/>
      <c r="AS247" s="39"/>
      <c r="AT247" s="39"/>
      <c r="AU247" s="39"/>
      <c r="AV247" s="39"/>
      <c r="AW247" s="39"/>
    </row>
    <row r="248" spans="1:49" s="64" customFormat="1" ht="12.75" customHeight="1" x14ac:dyDescent="0.25">
      <c r="A248" s="14" t="s">
        <v>48</v>
      </c>
      <c r="B248" s="15">
        <v>28243986</v>
      </c>
      <c r="C248" s="56" t="s">
        <v>716</v>
      </c>
      <c r="D248" s="80" t="s">
        <v>717</v>
      </c>
      <c r="E248" s="18" t="s">
        <v>958</v>
      </c>
      <c r="F248" s="58"/>
      <c r="G248" s="87"/>
      <c r="H248" s="87"/>
      <c r="I248" s="42"/>
      <c r="J248" s="20">
        <f>SUM(J249:J251)</f>
        <v>115</v>
      </c>
      <c r="K248" s="20">
        <v>140.10846774193499</v>
      </c>
      <c r="L248" s="22">
        <f>SUM(L249:L251)</f>
        <v>16112.47379032258</v>
      </c>
      <c r="M248" s="88"/>
      <c r="N248" s="65"/>
      <c r="O248" s="65"/>
      <c r="P248" s="62"/>
      <c r="R248" s="48"/>
      <c r="S248" s="65"/>
      <c r="T248" s="65"/>
      <c r="U248" s="65"/>
      <c r="V248" s="65"/>
      <c r="W248" s="65"/>
      <c r="X248" s="65"/>
      <c r="Y248" s="65"/>
      <c r="Z248" s="65"/>
      <c r="AA248" s="65"/>
      <c r="AB248" s="65"/>
      <c r="AC248" s="65"/>
      <c r="AD248" s="65"/>
      <c r="AE248" s="65"/>
      <c r="AF248" s="65"/>
      <c r="AG248" s="65"/>
      <c r="AH248" s="65"/>
      <c r="AI248" s="65"/>
      <c r="AJ248" s="65"/>
      <c r="AK248" s="65"/>
      <c r="AL248" s="65"/>
      <c r="AM248" s="65"/>
      <c r="AN248" s="65"/>
      <c r="AO248" s="65"/>
      <c r="AP248" s="65"/>
      <c r="AQ248" s="65"/>
      <c r="AR248" s="65"/>
      <c r="AS248" s="65"/>
      <c r="AT248" s="65"/>
      <c r="AU248" s="65"/>
      <c r="AV248" s="65"/>
      <c r="AW248" s="65"/>
    </row>
    <row r="249" spans="1:49" s="48" customFormat="1" ht="12.75" customHeight="1" x14ac:dyDescent="0.25">
      <c r="A249" s="33" t="s">
        <v>48</v>
      </c>
      <c r="B249" s="51" t="s">
        <v>718</v>
      </c>
      <c r="C249" s="35" t="s">
        <v>719</v>
      </c>
      <c r="D249" s="102" t="s">
        <v>720</v>
      </c>
      <c r="E249" s="37" t="s">
        <v>54</v>
      </c>
      <c r="F249" s="38" t="s">
        <v>55</v>
      </c>
      <c r="G249" s="84"/>
      <c r="H249" s="40" t="s">
        <v>56</v>
      </c>
      <c r="I249" s="42"/>
      <c r="J249" s="39">
        <v>75</v>
      </c>
      <c r="K249" s="42">
        <v>140.10846774193547</v>
      </c>
      <c r="L249" s="42">
        <v>10508.135080645161</v>
      </c>
      <c r="M249" s="50"/>
      <c r="N249" s="39"/>
      <c r="O249" s="39"/>
      <c r="P249" s="42">
        <v>0</v>
      </c>
      <c r="Q249" s="52"/>
      <c r="S249" s="39"/>
      <c r="T249" s="39"/>
      <c r="U249" s="39"/>
      <c r="V249" s="39"/>
      <c r="W249" s="39"/>
      <c r="X249" s="39"/>
      <c r="Y249" s="39"/>
      <c r="Z249" s="39"/>
      <c r="AA249" s="39"/>
      <c r="AB249" s="39"/>
      <c r="AC249" s="39"/>
      <c r="AD249" s="39"/>
      <c r="AE249" s="39"/>
      <c r="AF249" s="39"/>
      <c r="AG249" s="39"/>
      <c r="AH249" s="39"/>
      <c r="AI249" s="39"/>
      <c r="AJ249" s="39"/>
      <c r="AK249" s="39"/>
      <c r="AL249" s="39"/>
      <c r="AM249" s="39"/>
      <c r="AN249" s="39"/>
      <c r="AO249" s="39"/>
      <c r="AP249" s="39"/>
      <c r="AQ249" s="39"/>
      <c r="AR249" s="39"/>
      <c r="AS249" s="39"/>
      <c r="AT249" s="39"/>
      <c r="AU249" s="39"/>
      <c r="AV249" s="39"/>
      <c r="AW249" s="39"/>
    </row>
    <row r="250" spans="1:49" s="48" customFormat="1" ht="12.75" customHeight="1" x14ac:dyDescent="0.25">
      <c r="A250" s="33" t="s">
        <v>48</v>
      </c>
      <c r="B250" s="51"/>
      <c r="C250" s="35" t="s">
        <v>721</v>
      </c>
      <c r="D250" s="102" t="s">
        <v>722</v>
      </c>
      <c r="E250" s="37" t="s">
        <v>54</v>
      </c>
      <c r="F250" s="38" t="s">
        <v>55</v>
      </c>
      <c r="G250" s="84"/>
      <c r="H250" s="40" t="s">
        <v>56</v>
      </c>
      <c r="I250" s="42"/>
      <c r="J250" s="39"/>
      <c r="K250" s="42">
        <v>140.10846774193547</v>
      </c>
      <c r="L250" s="42">
        <v>0</v>
      </c>
      <c r="M250" s="50"/>
      <c r="N250" s="39"/>
      <c r="O250" s="39"/>
      <c r="P250" s="42">
        <v>0</v>
      </c>
      <c r="Q250" s="52"/>
      <c r="S250" s="39"/>
      <c r="T250" s="39"/>
      <c r="U250" s="39"/>
      <c r="V250" s="39"/>
      <c r="W250" s="39"/>
      <c r="X250" s="39"/>
      <c r="Y250" s="39"/>
      <c r="Z250" s="39"/>
      <c r="AA250" s="39"/>
      <c r="AB250" s="39"/>
      <c r="AC250" s="39"/>
      <c r="AD250" s="39"/>
      <c r="AE250" s="39"/>
      <c r="AF250" s="39"/>
      <c r="AG250" s="39"/>
      <c r="AH250" s="39"/>
      <c r="AI250" s="39"/>
      <c r="AJ250" s="39"/>
      <c r="AK250" s="39"/>
      <c r="AL250" s="39"/>
      <c r="AM250" s="39"/>
      <c r="AN250" s="39"/>
      <c r="AO250" s="39"/>
      <c r="AP250" s="39"/>
      <c r="AQ250" s="39"/>
      <c r="AR250" s="39"/>
      <c r="AS250" s="39"/>
      <c r="AT250" s="39"/>
      <c r="AU250" s="39"/>
      <c r="AV250" s="39"/>
      <c r="AW250" s="39"/>
    </row>
    <row r="251" spans="1:49" s="48" customFormat="1" ht="12.75" customHeight="1" x14ac:dyDescent="0.25">
      <c r="A251" s="33" t="s">
        <v>48</v>
      </c>
      <c r="B251" s="51" t="s">
        <v>723</v>
      </c>
      <c r="C251" s="35" t="s">
        <v>724</v>
      </c>
      <c r="D251" s="102" t="s">
        <v>725</v>
      </c>
      <c r="E251" s="37" t="s">
        <v>54</v>
      </c>
      <c r="F251" s="38" t="s">
        <v>55</v>
      </c>
      <c r="G251" s="84"/>
      <c r="H251" s="40" t="s">
        <v>56</v>
      </c>
      <c r="I251" s="42"/>
      <c r="J251" s="39">
        <v>40</v>
      </c>
      <c r="K251" s="42">
        <v>140.10846774193547</v>
      </c>
      <c r="L251" s="42">
        <v>5604.3387096774186</v>
      </c>
      <c r="M251" s="50"/>
      <c r="N251" s="39"/>
      <c r="O251" s="39"/>
      <c r="P251" s="42">
        <v>0</v>
      </c>
      <c r="Q251" s="52"/>
      <c r="S251" s="39"/>
      <c r="T251" s="39"/>
      <c r="U251" s="39"/>
      <c r="V251" s="39"/>
      <c r="W251" s="39"/>
      <c r="X251" s="39"/>
      <c r="Y251" s="39"/>
      <c r="Z251" s="39"/>
      <c r="AA251" s="39"/>
      <c r="AB251" s="39"/>
      <c r="AC251" s="39"/>
      <c r="AD251" s="39"/>
      <c r="AE251" s="39"/>
      <c r="AF251" s="39"/>
      <c r="AG251" s="39"/>
      <c r="AH251" s="39"/>
      <c r="AI251" s="39"/>
      <c r="AJ251" s="39"/>
      <c r="AK251" s="39"/>
      <c r="AL251" s="39"/>
      <c r="AM251" s="39"/>
      <c r="AN251" s="39"/>
      <c r="AO251" s="39"/>
      <c r="AP251" s="39"/>
      <c r="AQ251" s="39"/>
      <c r="AR251" s="39"/>
      <c r="AS251" s="39"/>
      <c r="AT251" s="39"/>
      <c r="AU251" s="39"/>
      <c r="AV251" s="39"/>
      <c r="AW251" s="39"/>
    </row>
    <row r="252" spans="1:49" s="64" customFormat="1" ht="12" customHeight="1" x14ac:dyDescent="0.25">
      <c r="A252" s="14" t="s">
        <v>48</v>
      </c>
      <c r="B252" s="15">
        <v>28243986</v>
      </c>
      <c r="C252" s="56" t="s">
        <v>726</v>
      </c>
      <c r="D252" s="80" t="s">
        <v>727</v>
      </c>
      <c r="E252" s="18" t="s">
        <v>958</v>
      </c>
      <c r="F252" s="58" t="s">
        <v>55</v>
      </c>
      <c r="G252" s="87"/>
      <c r="H252" s="87"/>
      <c r="I252" s="42"/>
      <c r="J252" s="20">
        <f>SUM(J253:J254)</f>
        <v>75</v>
      </c>
      <c r="K252" s="20">
        <v>140.10846774193499</v>
      </c>
      <c r="L252" s="22">
        <f>SUM(L253:L254)</f>
        <v>10508.135080645161</v>
      </c>
      <c r="M252" s="88"/>
      <c r="N252" s="65"/>
      <c r="O252" s="65"/>
      <c r="P252" s="62"/>
      <c r="R252" s="48"/>
      <c r="S252" s="65"/>
      <c r="T252" s="65"/>
      <c r="U252" s="65"/>
      <c r="V252" s="65"/>
      <c r="W252" s="65"/>
      <c r="X252" s="65"/>
      <c r="Y252" s="65"/>
      <c r="Z252" s="65"/>
      <c r="AA252" s="65"/>
      <c r="AB252" s="65"/>
      <c r="AC252" s="65"/>
      <c r="AD252" s="65"/>
      <c r="AE252" s="65"/>
      <c r="AF252" s="65"/>
      <c r="AG252" s="65"/>
      <c r="AH252" s="65"/>
      <c r="AI252" s="65"/>
      <c r="AJ252" s="65"/>
      <c r="AK252" s="65"/>
      <c r="AL252" s="65"/>
      <c r="AM252" s="65"/>
      <c r="AN252" s="65"/>
      <c r="AO252" s="65"/>
      <c r="AP252" s="65"/>
      <c r="AQ252" s="65"/>
      <c r="AR252" s="65"/>
      <c r="AS252" s="65"/>
      <c r="AT252" s="65"/>
      <c r="AU252" s="65"/>
      <c r="AV252" s="65"/>
      <c r="AW252" s="65"/>
    </row>
    <row r="253" spans="1:49" s="48" customFormat="1" ht="12.75" customHeight="1" x14ac:dyDescent="0.25">
      <c r="A253" s="33" t="s">
        <v>48</v>
      </c>
      <c r="B253" s="51" t="s">
        <v>728</v>
      </c>
      <c r="C253" s="35" t="s">
        <v>729</v>
      </c>
      <c r="D253" s="102" t="s">
        <v>730</v>
      </c>
      <c r="E253" s="37" t="s">
        <v>54</v>
      </c>
      <c r="F253" s="38" t="s">
        <v>55</v>
      </c>
      <c r="G253" s="84"/>
      <c r="H253" s="40" t="s">
        <v>56</v>
      </c>
      <c r="I253" s="42"/>
      <c r="J253" s="39">
        <v>75</v>
      </c>
      <c r="K253" s="42">
        <v>140.10846774193547</v>
      </c>
      <c r="L253" s="42">
        <v>10508.135080645161</v>
      </c>
      <c r="M253" s="50"/>
      <c r="N253" s="39"/>
      <c r="O253" s="39"/>
      <c r="P253" s="42">
        <v>0</v>
      </c>
      <c r="Q253" s="52"/>
      <c r="S253" s="39"/>
      <c r="T253" s="39"/>
      <c r="U253" s="39"/>
      <c r="V253" s="39"/>
      <c r="W253" s="39"/>
      <c r="X253" s="39"/>
      <c r="Y253" s="39"/>
      <c r="Z253" s="39"/>
      <c r="AA253" s="39"/>
      <c r="AB253" s="39"/>
      <c r="AC253" s="39"/>
      <c r="AD253" s="39"/>
      <c r="AE253" s="39"/>
      <c r="AF253" s="39"/>
      <c r="AG253" s="39"/>
      <c r="AH253" s="39"/>
      <c r="AI253" s="39"/>
      <c r="AJ253" s="39"/>
      <c r="AK253" s="39"/>
      <c r="AL253" s="39"/>
      <c r="AM253" s="39"/>
      <c r="AN253" s="39"/>
      <c r="AO253" s="39"/>
      <c r="AP253" s="39"/>
      <c r="AQ253" s="39"/>
      <c r="AR253" s="39"/>
      <c r="AS253" s="39"/>
      <c r="AT253" s="39"/>
      <c r="AU253" s="39"/>
      <c r="AV253" s="39"/>
      <c r="AW253" s="39"/>
    </row>
    <row r="254" spans="1:49" s="48" customFormat="1" ht="12.75" customHeight="1" x14ac:dyDescent="0.25">
      <c r="A254" s="33" t="s">
        <v>48</v>
      </c>
      <c r="B254" s="51"/>
      <c r="C254" s="35" t="s">
        <v>731</v>
      </c>
      <c r="D254" s="102" t="s">
        <v>732</v>
      </c>
      <c r="E254" s="37" t="s">
        <v>54</v>
      </c>
      <c r="F254" s="38" t="s">
        <v>578</v>
      </c>
      <c r="G254" s="84"/>
      <c r="H254" s="40" t="s">
        <v>56</v>
      </c>
      <c r="I254" s="42"/>
      <c r="J254" s="39"/>
      <c r="K254" s="42"/>
      <c r="L254" s="42">
        <v>0</v>
      </c>
      <c r="M254" s="50"/>
      <c r="N254" s="39"/>
      <c r="O254" s="39"/>
      <c r="P254" s="42">
        <v>0</v>
      </c>
      <c r="Q254" s="52"/>
      <c r="S254" s="39"/>
      <c r="T254" s="39"/>
      <c r="U254" s="39"/>
      <c r="V254" s="39"/>
      <c r="W254" s="39"/>
      <c r="X254" s="39"/>
      <c r="Y254" s="39"/>
      <c r="Z254" s="39"/>
      <c r="AA254" s="39"/>
      <c r="AB254" s="39"/>
      <c r="AC254" s="39"/>
      <c r="AD254" s="39"/>
      <c r="AE254" s="39"/>
      <c r="AF254" s="39"/>
      <c r="AG254" s="39"/>
      <c r="AH254" s="39"/>
      <c r="AI254" s="39"/>
      <c r="AJ254" s="39"/>
      <c r="AK254" s="39"/>
      <c r="AL254" s="39"/>
      <c r="AM254" s="39"/>
      <c r="AN254" s="39"/>
      <c r="AO254" s="39"/>
      <c r="AP254" s="39"/>
      <c r="AQ254" s="39"/>
      <c r="AR254" s="39"/>
      <c r="AS254" s="39"/>
      <c r="AT254" s="39"/>
      <c r="AU254" s="39"/>
      <c r="AV254" s="39"/>
      <c r="AW254" s="39"/>
    </row>
    <row r="255" spans="1:49" s="64" customFormat="1" ht="12.75" customHeight="1" x14ac:dyDescent="0.25">
      <c r="A255" s="14" t="s">
        <v>48</v>
      </c>
      <c r="B255" s="15">
        <v>28243982</v>
      </c>
      <c r="C255" s="56" t="s">
        <v>733</v>
      </c>
      <c r="D255" s="80" t="s">
        <v>734</v>
      </c>
      <c r="E255" s="18" t="s">
        <v>958</v>
      </c>
      <c r="F255" s="58"/>
      <c r="G255" s="87"/>
      <c r="H255" s="87"/>
      <c r="I255" s="42"/>
      <c r="J255" s="20">
        <f>SUM(J256:J280)</f>
        <v>397.5</v>
      </c>
      <c r="K255" s="20">
        <v>140.10846774193499</v>
      </c>
      <c r="L255" s="22">
        <f>SUM(L256:L280)</f>
        <v>55693.115927419349</v>
      </c>
      <c r="M255" s="88"/>
      <c r="N255" s="65"/>
      <c r="O255" s="65"/>
      <c r="P255" s="62"/>
      <c r="R255" s="48"/>
      <c r="S255" s="65"/>
      <c r="T255" s="65"/>
      <c r="U255" s="65"/>
      <c r="V255" s="65"/>
      <c r="W255" s="65"/>
      <c r="X255" s="65"/>
      <c r="Y255" s="65"/>
      <c r="Z255" s="65"/>
      <c r="AA255" s="65"/>
      <c r="AB255" s="65"/>
      <c r="AC255" s="65"/>
      <c r="AD255" s="65"/>
      <c r="AE255" s="65"/>
      <c r="AF255" s="65"/>
      <c r="AG255" s="65"/>
      <c r="AH255" s="65"/>
      <c r="AI255" s="65"/>
      <c r="AJ255" s="65"/>
      <c r="AK255" s="65"/>
      <c r="AL255" s="65"/>
      <c r="AM255" s="65"/>
      <c r="AN255" s="65"/>
      <c r="AO255" s="65"/>
      <c r="AP255" s="65"/>
      <c r="AQ255" s="65"/>
      <c r="AR255" s="65"/>
      <c r="AS255" s="65"/>
      <c r="AT255" s="65"/>
      <c r="AU255" s="65"/>
      <c r="AV255" s="65"/>
      <c r="AW255" s="65"/>
    </row>
    <row r="256" spans="1:49" s="48" customFormat="1" ht="12.75" customHeight="1" x14ac:dyDescent="0.25">
      <c r="A256" s="33" t="s">
        <v>48</v>
      </c>
      <c r="B256" s="113" t="s">
        <v>735</v>
      </c>
      <c r="C256" s="35" t="s">
        <v>736</v>
      </c>
      <c r="D256" s="102" t="s">
        <v>737</v>
      </c>
      <c r="E256" s="37" t="s">
        <v>54</v>
      </c>
      <c r="F256" s="38" t="s">
        <v>55</v>
      </c>
      <c r="G256" s="84"/>
      <c r="H256" s="40" t="s">
        <v>56</v>
      </c>
      <c r="I256" s="42"/>
      <c r="J256" s="39">
        <v>10.5</v>
      </c>
      <c r="K256" s="42">
        <v>140.10846774193547</v>
      </c>
      <c r="L256" s="42">
        <v>1471.1389112903225</v>
      </c>
      <c r="M256" s="50"/>
      <c r="N256" s="39"/>
      <c r="O256" s="39"/>
      <c r="P256" s="42">
        <v>0</v>
      </c>
      <c r="Q256" s="52"/>
      <c r="S256" s="39"/>
      <c r="T256" s="39"/>
      <c r="U256" s="39"/>
      <c r="V256" s="39"/>
      <c r="W256" s="39"/>
      <c r="X256" s="39"/>
      <c r="Y256" s="39"/>
      <c r="Z256" s="39"/>
      <c r="AA256" s="39"/>
      <c r="AB256" s="39"/>
      <c r="AC256" s="39"/>
      <c r="AD256" s="39"/>
      <c r="AE256" s="39"/>
      <c r="AF256" s="39"/>
      <c r="AG256" s="39"/>
      <c r="AH256" s="39"/>
      <c r="AI256" s="39"/>
      <c r="AJ256" s="39"/>
      <c r="AK256" s="39"/>
      <c r="AL256" s="39"/>
      <c r="AM256" s="39"/>
      <c r="AN256" s="39"/>
      <c r="AO256" s="39"/>
      <c r="AP256" s="39"/>
      <c r="AQ256" s="39"/>
      <c r="AR256" s="39"/>
      <c r="AS256" s="39"/>
      <c r="AT256" s="39"/>
      <c r="AU256" s="39"/>
      <c r="AV256" s="39"/>
      <c r="AW256" s="39"/>
    </row>
    <row r="257" spans="1:49" s="48" customFormat="1" ht="12.75" customHeight="1" x14ac:dyDescent="0.25">
      <c r="A257" s="33" t="s">
        <v>48</v>
      </c>
      <c r="B257" s="113" t="s">
        <v>738</v>
      </c>
      <c r="C257" s="35" t="s">
        <v>739</v>
      </c>
      <c r="D257" s="102" t="s">
        <v>740</v>
      </c>
      <c r="E257" s="37" t="s">
        <v>54</v>
      </c>
      <c r="F257" s="38" t="s">
        <v>55</v>
      </c>
      <c r="G257" s="84"/>
      <c r="H257" s="40" t="s">
        <v>56</v>
      </c>
      <c r="I257" s="42"/>
      <c r="J257" s="39">
        <v>10.5</v>
      </c>
      <c r="K257" s="42">
        <v>140.10846774193547</v>
      </c>
      <c r="L257" s="42">
        <v>1471.1389112903225</v>
      </c>
      <c r="M257" s="50"/>
      <c r="N257" s="39"/>
      <c r="O257" s="39"/>
      <c r="P257" s="42">
        <v>0</v>
      </c>
      <c r="Q257" s="52"/>
      <c r="S257" s="39"/>
      <c r="T257" s="39"/>
      <c r="U257" s="39"/>
      <c r="V257" s="39"/>
      <c r="W257" s="39"/>
      <c r="X257" s="39"/>
      <c r="Y257" s="39"/>
      <c r="Z257" s="39"/>
      <c r="AA257" s="39"/>
      <c r="AB257" s="39"/>
      <c r="AC257" s="39"/>
      <c r="AD257" s="39"/>
      <c r="AE257" s="39"/>
      <c r="AF257" s="39"/>
      <c r="AG257" s="39"/>
      <c r="AH257" s="39"/>
      <c r="AI257" s="39"/>
      <c r="AJ257" s="39"/>
      <c r="AK257" s="39"/>
      <c r="AL257" s="39"/>
      <c r="AM257" s="39"/>
      <c r="AN257" s="39"/>
      <c r="AO257" s="39"/>
      <c r="AP257" s="39"/>
      <c r="AQ257" s="39"/>
      <c r="AR257" s="39"/>
      <c r="AS257" s="39"/>
      <c r="AT257" s="39"/>
      <c r="AU257" s="39"/>
      <c r="AV257" s="39"/>
      <c r="AW257" s="39"/>
    </row>
    <row r="258" spans="1:49" s="48" customFormat="1" ht="12.75" customHeight="1" x14ac:dyDescent="0.25">
      <c r="A258" s="33" t="s">
        <v>48</v>
      </c>
      <c r="B258" s="51" t="s">
        <v>741</v>
      </c>
      <c r="C258" s="35" t="s">
        <v>742</v>
      </c>
      <c r="D258" s="102" t="s">
        <v>743</v>
      </c>
      <c r="E258" s="37" t="s">
        <v>54</v>
      </c>
      <c r="F258" s="38" t="s">
        <v>55</v>
      </c>
      <c r="G258" s="84"/>
      <c r="H258" s="40" t="s">
        <v>56</v>
      </c>
      <c r="I258" s="42"/>
      <c r="J258" s="39">
        <v>18</v>
      </c>
      <c r="K258" s="42">
        <v>140.10846774193547</v>
      </c>
      <c r="L258" s="42">
        <v>2521.9524193548386</v>
      </c>
      <c r="M258" s="50"/>
      <c r="N258" s="39"/>
      <c r="O258" s="39"/>
      <c r="P258" s="42">
        <v>0</v>
      </c>
      <c r="Q258" s="52"/>
      <c r="S258" s="39"/>
      <c r="T258" s="39"/>
      <c r="U258" s="39"/>
      <c r="V258" s="39"/>
      <c r="W258" s="39"/>
      <c r="X258" s="39"/>
      <c r="Y258" s="39"/>
      <c r="Z258" s="39"/>
      <c r="AA258" s="39"/>
      <c r="AB258" s="39"/>
      <c r="AC258" s="39"/>
      <c r="AD258" s="39"/>
      <c r="AE258" s="39"/>
      <c r="AF258" s="39"/>
      <c r="AG258" s="39"/>
      <c r="AH258" s="39"/>
      <c r="AI258" s="39"/>
      <c r="AJ258" s="39"/>
      <c r="AK258" s="39"/>
      <c r="AL258" s="39"/>
      <c r="AM258" s="39"/>
      <c r="AN258" s="39"/>
      <c r="AO258" s="39"/>
      <c r="AP258" s="39"/>
      <c r="AQ258" s="39"/>
      <c r="AR258" s="39"/>
      <c r="AS258" s="39"/>
      <c r="AT258" s="39"/>
      <c r="AU258" s="39"/>
      <c r="AV258" s="39"/>
      <c r="AW258" s="39"/>
    </row>
    <row r="259" spans="1:49" s="48" customFormat="1" ht="12.75" customHeight="1" x14ac:dyDescent="0.25">
      <c r="A259" s="33" t="s">
        <v>48</v>
      </c>
      <c r="B259" s="51" t="s">
        <v>744</v>
      </c>
      <c r="C259" s="35" t="s">
        <v>745</v>
      </c>
      <c r="D259" s="102" t="s">
        <v>746</v>
      </c>
      <c r="E259" s="37" t="s">
        <v>54</v>
      </c>
      <c r="F259" s="38" t="s">
        <v>55</v>
      </c>
      <c r="G259" s="84"/>
      <c r="H259" s="40" t="s">
        <v>56</v>
      </c>
      <c r="I259" s="42"/>
      <c r="J259" s="39">
        <v>40</v>
      </c>
      <c r="K259" s="42">
        <v>140.10846774193547</v>
      </c>
      <c r="L259" s="42">
        <v>5604.3387096774186</v>
      </c>
      <c r="M259" s="50"/>
      <c r="N259" s="39"/>
      <c r="O259" s="39"/>
      <c r="P259" s="42">
        <v>0</v>
      </c>
      <c r="Q259" s="52"/>
      <c r="S259" s="39"/>
      <c r="T259" s="39"/>
      <c r="U259" s="39"/>
      <c r="V259" s="39"/>
      <c r="W259" s="39"/>
      <c r="X259" s="39"/>
      <c r="Y259" s="39"/>
      <c r="Z259" s="39"/>
      <c r="AA259" s="39"/>
      <c r="AB259" s="39"/>
      <c r="AC259" s="39"/>
      <c r="AD259" s="39"/>
      <c r="AE259" s="39"/>
      <c r="AF259" s="39"/>
      <c r="AG259" s="39"/>
      <c r="AH259" s="39"/>
      <c r="AI259" s="39"/>
      <c r="AJ259" s="39"/>
      <c r="AK259" s="39"/>
      <c r="AL259" s="39"/>
      <c r="AM259" s="39"/>
      <c r="AN259" s="39"/>
      <c r="AO259" s="39"/>
      <c r="AP259" s="39"/>
      <c r="AQ259" s="39"/>
      <c r="AR259" s="39"/>
      <c r="AS259" s="39"/>
      <c r="AT259" s="39"/>
      <c r="AU259" s="39"/>
      <c r="AV259" s="39"/>
      <c r="AW259" s="39"/>
    </row>
    <row r="260" spans="1:49" s="48" customFormat="1" ht="12.75" customHeight="1" x14ac:dyDescent="0.25">
      <c r="A260" s="33" t="s">
        <v>48</v>
      </c>
      <c r="B260" s="113" t="s">
        <v>747</v>
      </c>
      <c r="C260" s="35" t="s">
        <v>748</v>
      </c>
      <c r="D260" s="102" t="s">
        <v>749</v>
      </c>
      <c r="E260" s="37" t="s">
        <v>54</v>
      </c>
      <c r="F260" s="38" t="s">
        <v>55</v>
      </c>
      <c r="G260" s="84"/>
      <c r="H260" s="40" t="s">
        <v>56</v>
      </c>
      <c r="I260" s="42"/>
      <c r="J260" s="39">
        <v>20</v>
      </c>
      <c r="K260" s="42">
        <v>140.10846774193547</v>
      </c>
      <c r="L260" s="42">
        <v>2802.1693548387093</v>
      </c>
      <c r="M260" s="50"/>
      <c r="N260" s="39"/>
      <c r="O260" s="39"/>
      <c r="P260" s="42">
        <v>0</v>
      </c>
      <c r="Q260" s="52"/>
      <c r="S260" s="39"/>
      <c r="T260" s="39"/>
      <c r="U260" s="39"/>
      <c r="V260" s="39"/>
      <c r="W260" s="39"/>
      <c r="X260" s="39"/>
      <c r="Y260" s="39"/>
      <c r="Z260" s="39"/>
      <c r="AA260" s="39"/>
      <c r="AB260" s="39"/>
      <c r="AC260" s="39"/>
      <c r="AD260" s="39"/>
      <c r="AE260" s="39"/>
      <c r="AF260" s="39"/>
      <c r="AG260" s="39"/>
      <c r="AH260" s="39"/>
      <c r="AI260" s="39"/>
      <c r="AJ260" s="39"/>
      <c r="AK260" s="39"/>
      <c r="AL260" s="39"/>
      <c r="AM260" s="39"/>
      <c r="AN260" s="39"/>
      <c r="AO260" s="39"/>
      <c r="AP260" s="39"/>
      <c r="AQ260" s="39"/>
      <c r="AR260" s="39"/>
      <c r="AS260" s="39"/>
      <c r="AT260" s="39"/>
      <c r="AU260" s="39"/>
      <c r="AV260" s="39"/>
      <c r="AW260" s="39"/>
    </row>
    <row r="261" spans="1:49" s="48" customFormat="1" ht="12.75" customHeight="1" x14ac:dyDescent="0.25">
      <c r="A261" s="33" t="s">
        <v>48</v>
      </c>
      <c r="B261" s="113" t="s">
        <v>750</v>
      </c>
      <c r="C261" s="35" t="s">
        <v>751</v>
      </c>
      <c r="D261" s="102" t="s">
        <v>752</v>
      </c>
      <c r="E261" s="37" t="s">
        <v>54</v>
      </c>
      <c r="F261" s="38" t="s">
        <v>55</v>
      </c>
      <c r="G261" s="84"/>
      <c r="H261" s="40" t="s">
        <v>56</v>
      </c>
      <c r="I261" s="42"/>
      <c r="J261" s="39">
        <v>20</v>
      </c>
      <c r="K261" s="42">
        <v>140.10846774193547</v>
      </c>
      <c r="L261" s="42">
        <v>2802.1693548387093</v>
      </c>
      <c r="M261" s="50"/>
      <c r="N261" s="39"/>
      <c r="O261" s="39"/>
      <c r="P261" s="42">
        <v>0</v>
      </c>
      <c r="Q261" s="52"/>
      <c r="S261" s="39"/>
      <c r="T261" s="39"/>
      <c r="U261" s="39"/>
      <c r="V261" s="39"/>
      <c r="W261" s="39"/>
      <c r="X261" s="39"/>
      <c r="Y261" s="39"/>
      <c r="Z261" s="39"/>
      <c r="AA261" s="39"/>
      <c r="AB261" s="39"/>
      <c r="AC261" s="39"/>
      <c r="AD261" s="39"/>
      <c r="AE261" s="39"/>
      <c r="AF261" s="39"/>
      <c r="AG261" s="39"/>
      <c r="AH261" s="39"/>
      <c r="AI261" s="39"/>
      <c r="AJ261" s="39"/>
      <c r="AK261" s="39"/>
      <c r="AL261" s="39"/>
      <c r="AM261" s="39"/>
      <c r="AN261" s="39"/>
      <c r="AO261" s="39"/>
      <c r="AP261" s="39"/>
      <c r="AQ261" s="39"/>
      <c r="AR261" s="39"/>
      <c r="AS261" s="39"/>
      <c r="AT261" s="39"/>
      <c r="AU261" s="39"/>
      <c r="AV261" s="39"/>
      <c r="AW261" s="39"/>
    </row>
    <row r="262" spans="1:49" s="48" customFormat="1" ht="12.75" customHeight="1" x14ac:dyDescent="0.25">
      <c r="A262" s="33" t="s">
        <v>48</v>
      </c>
      <c r="B262" s="51" t="s">
        <v>753</v>
      </c>
      <c r="C262" s="35" t="s">
        <v>754</v>
      </c>
      <c r="D262" s="92" t="s">
        <v>755</v>
      </c>
      <c r="E262" s="37" t="s">
        <v>54</v>
      </c>
      <c r="F262" s="38" t="s">
        <v>55</v>
      </c>
      <c r="G262" s="84"/>
      <c r="H262" s="40" t="s">
        <v>56</v>
      </c>
      <c r="I262" s="42"/>
      <c r="J262" s="39">
        <v>15</v>
      </c>
      <c r="K262" s="42">
        <v>140.10846774193547</v>
      </c>
      <c r="L262" s="42">
        <v>2101.6270161290322</v>
      </c>
      <c r="M262" s="50"/>
      <c r="N262" s="39"/>
      <c r="O262" s="39"/>
      <c r="P262" s="42">
        <v>0</v>
      </c>
      <c r="Q262" s="52"/>
      <c r="S262" s="39"/>
      <c r="T262" s="39"/>
      <c r="U262" s="39"/>
      <c r="V262" s="39"/>
      <c r="W262" s="39"/>
      <c r="X262" s="39"/>
      <c r="Y262" s="39"/>
      <c r="Z262" s="39"/>
      <c r="AA262" s="39"/>
      <c r="AB262" s="39"/>
      <c r="AC262" s="39"/>
      <c r="AD262" s="39"/>
      <c r="AE262" s="39"/>
      <c r="AF262" s="39"/>
      <c r="AG262" s="39"/>
      <c r="AH262" s="39"/>
      <c r="AI262" s="39"/>
      <c r="AJ262" s="39"/>
      <c r="AK262" s="39"/>
      <c r="AL262" s="39"/>
      <c r="AM262" s="39"/>
      <c r="AN262" s="39"/>
      <c r="AO262" s="39"/>
      <c r="AP262" s="39"/>
      <c r="AQ262" s="39"/>
      <c r="AR262" s="39"/>
      <c r="AS262" s="39"/>
      <c r="AT262" s="39"/>
      <c r="AU262" s="39"/>
      <c r="AV262" s="39"/>
      <c r="AW262" s="39"/>
    </row>
    <row r="263" spans="1:49" s="48" customFormat="1" ht="12.75" customHeight="1" x14ac:dyDescent="0.25">
      <c r="A263" s="33" t="s">
        <v>48</v>
      </c>
      <c r="B263" s="51" t="s">
        <v>756</v>
      </c>
      <c r="C263" s="35" t="s">
        <v>757</v>
      </c>
      <c r="D263" s="92" t="s">
        <v>758</v>
      </c>
      <c r="E263" s="37" t="s">
        <v>54</v>
      </c>
      <c r="F263" s="38" t="s">
        <v>55</v>
      </c>
      <c r="G263" s="84"/>
      <c r="H263" s="40" t="s">
        <v>56</v>
      </c>
      <c r="I263" s="42"/>
      <c r="J263" s="39">
        <v>15</v>
      </c>
      <c r="K263" s="42">
        <v>140.10846774193547</v>
      </c>
      <c r="L263" s="42">
        <v>2101.6270161290322</v>
      </c>
      <c r="M263" s="50"/>
      <c r="N263" s="39"/>
      <c r="O263" s="39"/>
      <c r="P263" s="42">
        <v>0</v>
      </c>
      <c r="Q263" s="52"/>
      <c r="S263" s="39"/>
      <c r="T263" s="39"/>
      <c r="U263" s="39"/>
      <c r="V263" s="39"/>
      <c r="W263" s="39"/>
      <c r="X263" s="39"/>
      <c r="Y263" s="39"/>
      <c r="Z263" s="39"/>
      <c r="AA263" s="39"/>
      <c r="AB263" s="39"/>
      <c r="AC263" s="39"/>
      <c r="AD263" s="39"/>
      <c r="AE263" s="39"/>
      <c r="AF263" s="39"/>
      <c r="AG263" s="39"/>
      <c r="AH263" s="39"/>
      <c r="AI263" s="39"/>
      <c r="AJ263" s="39"/>
      <c r="AK263" s="39"/>
      <c r="AL263" s="39"/>
      <c r="AM263" s="39"/>
      <c r="AN263" s="39"/>
      <c r="AO263" s="39"/>
      <c r="AP263" s="39"/>
      <c r="AQ263" s="39"/>
      <c r="AR263" s="39"/>
      <c r="AS263" s="39"/>
      <c r="AT263" s="39"/>
      <c r="AU263" s="39"/>
      <c r="AV263" s="39"/>
      <c r="AW263" s="39"/>
    </row>
    <row r="264" spans="1:49" s="48" customFormat="1" ht="12.75" customHeight="1" x14ac:dyDescent="0.25">
      <c r="A264" s="33" t="s">
        <v>48</v>
      </c>
      <c r="B264" s="51" t="s">
        <v>759</v>
      </c>
      <c r="C264" s="35" t="s">
        <v>760</v>
      </c>
      <c r="D264" s="92" t="s">
        <v>761</v>
      </c>
      <c r="E264" s="37" t="s">
        <v>54</v>
      </c>
      <c r="F264" s="38" t="s">
        <v>55</v>
      </c>
      <c r="G264" s="84"/>
      <c r="H264" s="40" t="s">
        <v>56</v>
      </c>
      <c r="I264" s="42"/>
      <c r="J264" s="39">
        <v>4</v>
      </c>
      <c r="K264" s="42">
        <v>140.10846774193547</v>
      </c>
      <c r="L264" s="42">
        <v>560.43387096774188</v>
      </c>
      <c r="M264" s="50"/>
      <c r="N264" s="39"/>
      <c r="O264" s="39"/>
      <c r="P264" s="42">
        <v>0</v>
      </c>
      <c r="Q264" s="52"/>
      <c r="S264" s="39"/>
      <c r="T264" s="39"/>
      <c r="U264" s="39"/>
      <c r="V264" s="39"/>
      <c r="W264" s="39"/>
      <c r="X264" s="39"/>
      <c r="Y264" s="39"/>
      <c r="Z264" s="39"/>
      <c r="AA264" s="39"/>
      <c r="AB264" s="39"/>
      <c r="AC264" s="39"/>
      <c r="AD264" s="39"/>
      <c r="AE264" s="39"/>
      <c r="AF264" s="39"/>
      <c r="AG264" s="39"/>
      <c r="AH264" s="39"/>
      <c r="AI264" s="39"/>
      <c r="AJ264" s="39"/>
      <c r="AK264" s="39"/>
      <c r="AL264" s="39"/>
      <c r="AM264" s="39"/>
      <c r="AN264" s="39"/>
      <c r="AO264" s="39"/>
      <c r="AP264" s="39"/>
      <c r="AQ264" s="39"/>
      <c r="AR264" s="39"/>
      <c r="AS264" s="39"/>
      <c r="AT264" s="39"/>
      <c r="AU264" s="39"/>
      <c r="AV264" s="39"/>
      <c r="AW264" s="39"/>
    </row>
    <row r="265" spans="1:49" s="48" customFormat="1" ht="12.75" customHeight="1" x14ac:dyDescent="0.25">
      <c r="A265" s="33" t="s">
        <v>48</v>
      </c>
      <c r="B265" s="51" t="s">
        <v>762</v>
      </c>
      <c r="C265" s="35" t="s">
        <v>763</v>
      </c>
      <c r="D265" s="92" t="s">
        <v>764</v>
      </c>
      <c r="E265" s="37" t="s">
        <v>54</v>
      </c>
      <c r="F265" s="38" t="s">
        <v>55</v>
      </c>
      <c r="G265" s="84"/>
      <c r="H265" s="40" t="s">
        <v>56</v>
      </c>
      <c r="I265" s="42"/>
      <c r="J265" s="39">
        <v>40</v>
      </c>
      <c r="K265" s="42">
        <v>140.10846774193547</v>
      </c>
      <c r="L265" s="42">
        <v>5604.3387096774186</v>
      </c>
      <c r="M265" s="50"/>
      <c r="N265" s="39"/>
      <c r="O265" s="39"/>
      <c r="P265" s="42">
        <v>0</v>
      </c>
      <c r="Q265" s="52"/>
      <c r="S265" s="39"/>
      <c r="T265" s="39"/>
      <c r="U265" s="39"/>
      <c r="V265" s="39"/>
      <c r="W265" s="39"/>
      <c r="X265" s="39"/>
      <c r="Y265" s="39"/>
      <c r="Z265" s="39"/>
      <c r="AA265" s="39"/>
      <c r="AB265" s="39"/>
      <c r="AC265" s="39"/>
      <c r="AD265" s="39"/>
      <c r="AE265" s="39"/>
      <c r="AF265" s="39"/>
      <c r="AG265" s="39"/>
      <c r="AH265" s="39"/>
      <c r="AI265" s="39"/>
      <c r="AJ265" s="39"/>
      <c r="AK265" s="39"/>
      <c r="AL265" s="39"/>
      <c r="AM265" s="39"/>
      <c r="AN265" s="39"/>
      <c r="AO265" s="39"/>
      <c r="AP265" s="39"/>
      <c r="AQ265" s="39"/>
      <c r="AR265" s="39"/>
      <c r="AS265" s="39"/>
      <c r="AT265" s="39"/>
      <c r="AU265" s="39"/>
      <c r="AV265" s="39"/>
      <c r="AW265" s="39"/>
    </row>
    <row r="266" spans="1:49" s="48" customFormat="1" ht="12.75" customHeight="1" x14ac:dyDescent="0.25">
      <c r="A266" s="33" t="s">
        <v>48</v>
      </c>
      <c r="B266" s="51" t="s">
        <v>765</v>
      </c>
      <c r="C266" s="35" t="s">
        <v>766</v>
      </c>
      <c r="D266" s="92" t="s">
        <v>767</v>
      </c>
      <c r="E266" s="37" t="s">
        <v>54</v>
      </c>
      <c r="F266" s="38" t="s">
        <v>55</v>
      </c>
      <c r="G266" s="84"/>
      <c r="H266" s="40" t="s">
        <v>56</v>
      </c>
      <c r="I266" s="42"/>
      <c r="J266" s="39">
        <v>43</v>
      </c>
      <c r="K266" s="42">
        <v>140.10846774193547</v>
      </c>
      <c r="L266" s="42">
        <v>6024.664112903225</v>
      </c>
      <c r="M266" s="50"/>
      <c r="N266" s="39"/>
      <c r="O266" s="39"/>
      <c r="P266" s="42">
        <v>0</v>
      </c>
      <c r="Q266" s="52"/>
      <c r="S266" s="39"/>
      <c r="T266" s="39"/>
      <c r="U266" s="39"/>
      <c r="V266" s="39"/>
      <c r="W266" s="39"/>
      <c r="X266" s="39"/>
      <c r="Y266" s="39"/>
      <c r="Z266" s="39"/>
      <c r="AA266" s="39"/>
      <c r="AB266" s="39"/>
      <c r="AC266" s="39"/>
      <c r="AD266" s="39"/>
      <c r="AE266" s="39"/>
      <c r="AF266" s="39"/>
      <c r="AG266" s="39"/>
      <c r="AH266" s="39"/>
      <c r="AI266" s="39"/>
      <c r="AJ266" s="39"/>
      <c r="AK266" s="39"/>
      <c r="AL266" s="39"/>
      <c r="AM266" s="39"/>
      <c r="AN266" s="39"/>
      <c r="AO266" s="39"/>
      <c r="AP266" s="39"/>
      <c r="AQ266" s="39"/>
      <c r="AR266" s="39"/>
      <c r="AS266" s="39"/>
      <c r="AT266" s="39"/>
      <c r="AU266" s="39"/>
      <c r="AV266" s="39"/>
      <c r="AW266" s="39"/>
    </row>
    <row r="267" spans="1:49" s="48" customFormat="1" ht="12.75" customHeight="1" x14ac:dyDescent="0.25">
      <c r="A267" s="33" t="s">
        <v>48</v>
      </c>
      <c r="B267" s="51" t="s">
        <v>768</v>
      </c>
      <c r="C267" s="35" t="s">
        <v>769</v>
      </c>
      <c r="D267" s="92" t="s">
        <v>770</v>
      </c>
      <c r="E267" s="37" t="s">
        <v>54</v>
      </c>
      <c r="F267" s="38" t="s">
        <v>55</v>
      </c>
      <c r="G267" s="84"/>
      <c r="H267" s="40" t="s">
        <v>56</v>
      </c>
      <c r="I267" s="42"/>
      <c r="J267" s="39">
        <v>10</v>
      </c>
      <c r="K267" s="42">
        <v>140.10846774193547</v>
      </c>
      <c r="L267" s="42">
        <v>1401.0846774193546</v>
      </c>
      <c r="M267" s="50"/>
      <c r="N267" s="39"/>
      <c r="O267" s="39"/>
      <c r="P267" s="42">
        <v>0</v>
      </c>
      <c r="Q267" s="52"/>
      <c r="S267" s="39"/>
      <c r="T267" s="39"/>
      <c r="U267" s="39"/>
      <c r="V267" s="39"/>
      <c r="W267" s="39"/>
      <c r="X267" s="39"/>
      <c r="Y267" s="39"/>
      <c r="Z267" s="39"/>
      <c r="AA267" s="39"/>
      <c r="AB267" s="39"/>
      <c r="AC267" s="39"/>
      <c r="AD267" s="39"/>
      <c r="AE267" s="39"/>
      <c r="AF267" s="39"/>
      <c r="AG267" s="39"/>
      <c r="AH267" s="39"/>
      <c r="AI267" s="39"/>
      <c r="AJ267" s="39"/>
      <c r="AK267" s="39"/>
      <c r="AL267" s="39"/>
      <c r="AM267" s="39"/>
      <c r="AN267" s="39"/>
      <c r="AO267" s="39"/>
      <c r="AP267" s="39"/>
      <c r="AQ267" s="39"/>
      <c r="AR267" s="39"/>
      <c r="AS267" s="39"/>
      <c r="AT267" s="39"/>
      <c r="AU267" s="39"/>
      <c r="AV267" s="39"/>
      <c r="AW267" s="39"/>
    </row>
    <row r="268" spans="1:49" s="48" customFormat="1" ht="12.75" customHeight="1" x14ac:dyDescent="0.25">
      <c r="A268" s="33" t="s">
        <v>48</v>
      </c>
      <c r="B268" s="51" t="s">
        <v>771</v>
      </c>
      <c r="C268" s="35" t="s">
        <v>772</v>
      </c>
      <c r="D268" s="92" t="s">
        <v>773</v>
      </c>
      <c r="E268" s="37" t="s">
        <v>54</v>
      </c>
      <c r="F268" s="38" t="s">
        <v>55</v>
      </c>
      <c r="G268" s="84"/>
      <c r="H268" s="40" t="s">
        <v>56</v>
      </c>
      <c r="I268" s="42"/>
      <c r="J268" s="39">
        <v>10</v>
      </c>
      <c r="K268" s="42">
        <v>140.10846774193547</v>
      </c>
      <c r="L268" s="42">
        <v>1401.0846774193546</v>
      </c>
      <c r="M268" s="50"/>
      <c r="N268" s="39"/>
      <c r="O268" s="39"/>
      <c r="P268" s="42">
        <v>0</v>
      </c>
      <c r="Q268" s="52"/>
      <c r="S268" s="39"/>
      <c r="T268" s="39"/>
      <c r="U268" s="39"/>
      <c r="V268" s="39"/>
      <c r="W268" s="39"/>
      <c r="X268" s="39"/>
      <c r="Y268" s="39"/>
      <c r="Z268" s="39"/>
      <c r="AA268" s="39"/>
      <c r="AB268" s="39"/>
      <c r="AC268" s="39"/>
      <c r="AD268" s="39"/>
      <c r="AE268" s="39"/>
      <c r="AF268" s="39"/>
      <c r="AG268" s="39"/>
      <c r="AH268" s="39"/>
      <c r="AI268" s="39"/>
      <c r="AJ268" s="39"/>
      <c r="AK268" s="39"/>
      <c r="AL268" s="39"/>
      <c r="AM268" s="39"/>
      <c r="AN268" s="39"/>
      <c r="AO268" s="39"/>
      <c r="AP268" s="39"/>
      <c r="AQ268" s="39"/>
      <c r="AR268" s="39"/>
      <c r="AS268" s="39"/>
      <c r="AT268" s="39"/>
      <c r="AU268" s="39"/>
      <c r="AV268" s="39"/>
      <c r="AW268" s="39"/>
    </row>
    <row r="269" spans="1:49" s="48" customFormat="1" ht="12.75" customHeight="1" x14ac:dyDescent="0.25">
      <c r="A269" s="33" t="s">
        <v>48</v>
      </c>
      <c r="B269" s="51" t="s">
        <v>774</v>
      </c>
      <c r="C269" s="35" t="s">
        <v>775</v>
      </c>
      <c r="D269" s="92" t="s">
        <v>776</v>
      </c>
      <c r="E269" s="37" t="s">
        <v>54</v>
      </c>
      <c r="F269" s="38" t="s">
        <v>55</v>
      </c>
      <c r="G269" s="84"/>
      <c r="H269" s="40" t="s">
        <v>56</v>
      </c>
      <c r="I269" s="42"/>
      <c r="J269" s="39">
        <v>10</v>
      </c>
      <c r="K269" s="42">
        <v>140.10846774193547</v>
      </c>
      <c r="L269" s="42">
        <v>1401.0846774193546</v>
      </c>
      <c r="M269" s="50"/>
      <c r="N269" s="39"/>
      <c r="O269" s="39"/>
      <c r="P269" s="42">
        <v>0</v>
      </c>
      <c r="Q269" s="52"/>
      <c r="S269" s="39"/>
      <c r="T269" s="39"/>
      <c r="U269" s="39"/>
      <c r="V269" s="39"/>
      <c r="W269" s="39"/>
      <c r="X269" s="39"/>
      <c r="Y269" s="39"/>
      <c r="Z269" s="39"/>
      <c r="AA269" s="39"/>
      <c r="AB269" s="39"/>
      <c r="AC269" s="39"/>
      <c r="AD269" s="39"/>
      <c r="AE269" s="39"/>
      <c r="AF269" s="39"/>
      <c r="AG269" s="39"/>
      <c r="AH269" s="39"/>
      <c r="AI269" s="39"/>
      <c r="AJ269" s="39"/>
      <c r="AK269" s="39"/>
      <c r="AL269" s="39"/>
      <c r="AM269" s="39"/>
      <c r="AN269" s="39"/>
      <c r="AO269" s="39"/>
      <c r="AP269" s="39"/>
      <c r="AQ269" s="39"/>
      <c r="AR269" s="39"/>
      <c r="AS269" s="39"/>
      <c r="AT269" s="39"/>
      <c r="AU269" s="39"/>
      <c r="AV269" s="39"/>
      <c r="AW269" s="39"/>
    </row>
    <row r="270" spans="1:49" s="48" customFormat="1" ht="33.75" x14ac:dyDescent="0.25">
      <c r="A270" s="33" t="s">
        <v>48</v>
      </c>
      <c r="B270" s="51" t="s">
        <v>777</v>
      </c>
      <c r="C270" s="35" t="s">
        <v>778</v>
      </c>
      <c r="D270" s="86" t="s">
        <v>779</v>
      </c>
      <c r="E270" s="37" t="s">
        <v>54</v>
      </c>
      <c r="F270" s="38" t="s">
        <v>55</v>
      </c>
      <c r="G270" s="84"/>
      <c r="H270" s="40" t="s">
        <v>56</v>
      </c>
      <c r="I270" s="42"/>
      <c r="J270" s="39">
        <v>5</v>
      </c>
      <c r="K270" s="42">
        <v>140.10846774193547</v>
      </c>
      <c r="L270" s="42">
        <v>700.54233870967732</v>
      </c>
      <c r="M270" s="50"/>
      <c r="N270" s="39"/>
      <c r="O270" s="39"/>
      <c r="P270" s="42">
        <v>0</v>
      </c>
      <c r="Q270" s="52"/>
      <c r="S270" s="39"/>
      <c r="T270" s="39"/>
      <c r="U270" s="39"/>
      <c r="V270" s="39"/>
      <c r="W270" s="39"/>
      <c r="X270" s="39"/>
      <c r="Y270" s="39"/>
      <c r="Z270" s="39"/>
      <c r="AA270" s="39"/>
      <c r="AB270" s="39"/>
      <c r="AC270" s="39"/>
      <c r="AD270" s="39"/>
      <c r="AE270" s="39"/>
      <c r="AF270" s="39"/>
      <c r="AG270" s="39"/>
      <c r="AH270" s="39"/>
      <c r="AI270" s="39"/>
      <c r="AJ270" s="39"/>
      <c r="AK270" s="39"/>
      <c r="AL270" s="39"/>
      <c r="AM270" s="39"/>
      <c r="AN270" s="39"/>
      <c r="AO270" s="39"/>
      <c r="AP270" s="39"/>
      <c r="AQ270" s="39"/>
      <c r="AR270" s="39"/>
      <c r="AS270" s="39"/>
      <c r="AT270" s="39"/>
      <c r="AU270" s="39"/>
      <c r="AV270" s="39"/>
      <c r="AW270" s="39"/>
    </row>
    <row r="271" spans="1:49" s="48" customFormat="1" ht="12.75" customHeight="1" x14ac:dyDescent="0.25">
      <c r="A271" s="33" t="s">
        <v>48</v>
      </c>
      <c r="B271" s="51" t="s">
        <v>780</v>
      </c>
      <c r="C271" s="35" t="s">
        <v>781</v>
      </c>
      <c r="D271" s="92" t="s">
        <v>782</v>
      </c>
      <c r="E271" s="37" t="s">
        <v>54</v>
      </c>
      <c r="F271" s="38" t="s">
        <v>55</v>
      </c>
      <c r="G271" s="84"/>
      <c r="H271" s="40" t="s">
        <v>56</v>
      </c>
      <c r="I271" s="42"/>
      <c r="J271" s="39">
        <v>20</v>
      </c>
      <c r="K271" s="42">
        <v>140.10846774193547</v>
      </c>
      <c r="L271" s="42">
        <v>2802.1693548387093</v>
      </c>
      <c r="M271" s="50"/>
      <c r="N271" s="39"/>
      <c r="O271" s="39"/>
      <c r="P271" s="42">
        <v>0</v>
      </c>
      <c r="Q271" s="52"/>
      <c r="S271" s="39"/>
      <c r="T271" s="39"/>
      <c r="U271" s="39"/>
      <c r="V271" s="39"/>
      <c r="W271" s="39"/>
      <c r="X271" s="39"/>
      <c r="Y271" s="39"/>
      <c r="Z271" s="39"/>
      <c r="AA271" s="39"/>
      <c r="AB271" s="39"/>
      <c r="AC271" s="39"/>
      <c r="AD271" s="39"/>
      <c r="AE271" s="39"/>
      <c r="AF271" s="39"/>
      <c r="AG271" s="39"/>
      <c r="AH271" s="39"/>
      <c r="AI271" s="39"/>
      <c r="AJ271" s="39"/>
      <c r="AK271" s="39"/>
      <c r="AL271" s="39"/>
      <c r="AM271" s="39"/>
      <c r="AN271" s="39"/>
      <c r="AO271" s="39"/>
      <c r="AP271" s="39"/>
      <c r="AQ271" s="39"/>
      <c r="AR271" s="39"/>
      <c r="AS271" s="39"/>
      <c r="AT271" s="39"/>
      <c r="AU271" s="39"/>
      <c r="AV271" s="39"/>
      <c r="AW271" s="39"/>
    </row>
    <row r="272" spans="1:49" s="48" customFormat="1" ht="12.75" customHeight="1" x14ac:dyDescent="0.25">
      <c r="A272" s="33" t="s">
        <v>48</v>
      </c>
      <c r="B272" s="51" t="s">
        <v>783</v>
      </c>
      <c r="C272" s="35" t="s">
        <v>784</v>
      </c>
      <c r="D272" s="92" t="s">
        <v>785</v>
      </c>
      <c r="E272" s="37" t="s">
        <v>54</v>
      </c>
      <c r="F272" s="38" t="s">
        <v>55</v>
      </c>
      <c r="G272" s="84"/>
      <c r="H272" s="40" t="s">
        <v>56</v>
      </c>
      <c r="I272" s="42"/>
      <c r="J272" s="39">
        <v>5</v>
      </c>
      <c r="K272" s="42">
        <v>140.10846774193547</v>
      </c>
      <c r="L272" s="42">
        <v>700.54233870967732</v>
      </c>
      <c r="M272" s="50"/>
      <c r="N272" s="39"/>
      <c r="O272" s="39"/>
      <c r="P272" s="42">
        <v>0</v>
      </c>
      <c r="Q272" s="52"/>
      <c r="S272" s="39"/>
      <c r="T272" s="39"/>
      <c r="U272" s="39"/>
      <c r="V272" s="39"/>
      <c r="W272" s="39"/>
      <c r="X272" s="39"/>
      <c r="Y272" s="39"/>
      <c r="Z272" s="39"/>
      <c r="AA272" s="39"/>
      <c r="AB272" s="39"/>
      <c r="AC272" s="39"/>
      <c r="AD272" s="39"/>
      <c r="AE272" s="39"/>
      <c r="AF272" s="39"/>
      <c r="AG272" s="39"/>
      <c r="AH272" s="39"/>
      <c r="AI272" s="39"/>
      <c r="AJ272" s="39"/>
      <c r="AK272" s="39"/>
      <c r="AL272" s="39"/>
      <c r="AM272" s="39"/>
      <c r="AN272" s="39"/>
      <c r="AO272" s="39"/>
      <c r="AP272" s="39"/>
      <c r="AQ272" s="39"/>
      <c r="AR272" s="39"/>
      <c r="AS272" s="39"/>
      <c r="AT272" s="39"/>
      <c r="AU272" s="39"/>
      <c r="AV272" s="39"/>
      <c r="AW272" s="39"/>
    </row>
    <row r="273" spans="1:49" s="48" customFormat="1" ht="12.75" customHeight="1" x14ac:dyDescent="0.25">
      <c r="A273" s="33" t="s">
        <v>48</v>
      </c>
      <c r="B273" s="51" t="s">
        <v>786</v>
      </c>
      <c r="C273" s="35" t="s">
        <v>787</v>
      </c>
      <c r="D273" s="92" t="s">
        <v>788</v>
      </c>
      <c r="E273" s="37" t="s">
        <v>54</v>
      </c>
      <c r="F273" s="38" t="s">
        <v>55</v>
      </c>
      <c r="G273" s="84"/>
      <c r="H273" s="40" t="s">
        <v>56</v>
      </c>
      <c r="I273" s="42"/>
      <c r="J273" s="39">
        <v>10</v>
      </c>
      <c r="K273" s="42">
        <v>140.10846774193547</v>
      </c>
      <c r="L273" s="42">
        <v>1401.0846774193546</v>
      </c>
      <c r="M273" s="50"/>
      <c r="N273" s="39"/>
      <c r="O273" s="39"/>
      <c r="P273" s="42">
        <v>0</v>
      </c>
      <c r="Q273" s="52"/>
      <c r="S273" s="39"/>
      <c r="T273" s="39"/>
      <c r="U273" s="39"/>
      <c r="V273" s="39"/>
      <c r="W273" s="39"/>
      <c r="X273" s="39"/>
      <c r="Y273" s="39"/>
      <c r="Z273" s="39"/>
      <c r="AA273" s="39"/>
      <c r="AB273" s="39"/>
      <c r="AC273" s="39"/>
      <c r="AD273" s="39"/>
      <c r="AE273" s="39"/>
      <c r="AF273" s="39"/>
      <c r="AG273" s="39"/>
      <c r="AH273" s="39"/>
      <c r="AI273" s="39"/>
      <c r="AJ273" s="39"/>
      <c r="AK273" s="39"/>
      <c r="AL273" s="39"/>
      <c r="AM273" s="39"/>
      <c r="AN273" s="39"/>
      <c r="AO273" s="39"/>
      <c r="AP273" s="39"/>
      <c r="AQ273" s="39"/>
      <c r="AR273" s="39"/>
      <c r="AS273" s="39"/>
      <c r="AT273" s="39"/>
      <c r="AU273" s="39"/>
      <c r="AV273" s="39"/>
      <c r="AW273" s="39"/>
    </row>
    <row r="274" spans="1:49" s="48" customFormat="1" ht="12.75" customHeight="1" x14ac:dyDescent="0.25">
      <c r="A274" s="33" t="s">
        <v>48</v>
      </c>
      <c r="B274" s="51" t="s">
        <v>789</v>
      </c>
      <c r="C274" s="35" t="s">
        <v>790</v>
      </c>
      <c r="D274" s="92" t="s">
        <v>791</v>
      </c>
      <c r="E274" s="37" t="s">
        <v>54</v>
      </c>
      <c r="F274" s="38" t="s">
        <v>55</v>
      </c>
      <c r="G274" s="84"/>
      <c r="H274" s="40" t="s">
        <v>56</v>
      </c>
      <c r="I274" s="42"/>
      <c r="J274" s="39">
        <v>30</v>
      </c>
      <c r="K274" s="42">
        <v>140.10846774193547</v>
      </c>
      <c r="L274" s="42">
        <v>4203.2540322580644</v>
      </c>
      <c r="M274" s="50"/>
      <c r="N274" s="39"/>
      <c r="O274" s="39"/>
      <c r="P274" s="42">
        <v>0</v>
      </c>
      <c r="Q274" s="52"/>
      <c r="S274" s="39"/>
      <c r="T274" s="39"/>
      <c r="U274" s="39"/>
      <c r="V274" s="39"/>
      <c r="W274" s="39"/>
      <c r="X274" s="39"/>
      <c r="Y274" s="39"/>
      <c r="Z274" s="39"/>
      <c r="AA274" s="39"/>
      <c r="AB274" s="39"/>
      <c r="AC274" s="39"/>
      <c r="AD274" s="39"/>
      <c r="AE274" s="39"/>
      <c r="AF274" s="39"/>
      <c r="AG274" s="39"/>
      <c r="AH274" s="39"/>
      <c r="AI274" s="39"/>
      <c r="AJ274" s="39"/>
      <c r="AK274" s="39"/>
      <c r="AL274" s="39"/>
      <c r="AM274" s="39"/>
      <c r="AN274" s="39"/>
      <c r="AO274" s="39"/>
      <c r="AP274" s="39"/>
      <c r="AQ274" s="39"/>
      <c r="AR274" s="39"/>
      <c r="AS274" s="39"/>
      <c r="AT274" s="39"/>
      <c r="AU274" s="39"/>
      <c r="AV274" s="39"/>
      <c r="AW274" s="39"/>
    </row>
    <row r="275" spans="1:49" s="48" customFormat="1" ht="12.75" customHeight="1" x14ac:dyDescent="0.25">
      <c r="A275" s="33" t="s">
        <v>48</v>
      </c>
      <c r="B275" s="51" t="s">
        <v>792</v>
      </c>
      <c r="C275" s="35" t="s">
        <v>793</v>
      </c>
      <c r="D275" s="92" t="s">
        <v>794</v>
      </c>
      <c r="E275" s="37" t="s">
        <v>54</v>
      </c>
      <c r="F275" s="38" t="s">
        <v>55</v>
      </c>
      <c r="G275" s="84"/>
      <c r="H275" s="40" t="s">
        <v>56</v>
      </c>
      <c r="I275" s="42"/>
      <c r="J275" s="39">
        <v>10.5</v>
      </c>
      <c r="K275" s="42">
        <v>140.10846774193547</v>
      </c>
      <c r="L275" s="42">
        <v>1471.1389112903225</v>
      </c>
      <c r="M275" s="50"/>
      <c r="N275" s="39"/>
      <c r="O275" s="39"/>
      <c r="P275" s="42">
        <v>0</v>
      </c>
      <c r="Q275" s="52"/>
      <c r="S275" s="39"/>
      <c r="T275" s="39"/>
      <c r="U275" s="39"/>
      <c r="V275" s="39"/>
      <c r="W275" s="39"/>
      <c r="X275" s="39"/>
      <c r="Y275" s="39"/>
      <c r="Z275" s="39"/>
      <c r="AA275" s="39"/>
      <c r="AB275" s="39"/>
      <c r="AC275" s="39"/>
      <c r="AD275" s="39"/>
      <c r="AE275" s="39"/>
      <c r="AF275" s="39"/>
      <c r="AG275" s="39"/>
      <c r="AH275" s="39"/>
      <c r="AI275" s="39"/>
      <c r="AJ275" s="39"/>
      <c r="AK275" s="39"/>
      <c r="AL275" s="39"/>
      <c r="AM275" s="39"/>
      <c r="AN275" s="39"/>
      <c r="AO275" s="39"/>
      <c r="AP275" s="39"/>
      <c r="AQ275" s="39"/>
      <c r="AR275" s="39"/>
      <c r="AS275" s="39"/>
      <c r="AT275" s="39"/>
      <c r="AU275" s="39"/>
      <c r="AV275" s="39"/>
      <c r="AW275" s="39"/>
    </row>
    <row r="276" spans="1:49" s="48" customFormat="1" ht="12.75" customHeight="1" x14ac:dyDescent="0.25">
      <c r="A276" s="33" t="s">
        <v>48</v>
      </c>
      <c r="B276" s="51" t="s">
        <v>795</v>
      </c>
      <c r="C276" s="35" t="s">
        <v>796</v>
      </c>
      <c r="D276" s="92" t="s">
        <v>797</v>
      </c>
      <c r="E276" s="37" t="s">
        <v>54</v>
      </c>
      <c r="F276" s="38" t="s">
        <v>55</v>
      </c>
      <c r="G276" s="84"/>
      <c r="H276" s="40" t="s">
        <v>56</v>
      </c>
      <c r="I276" s="42"/>
      <c r="J276" s="39">
        <v>10.5</v>
      </c>
      <c r="K276" s="42">
        <v>140.10846774193547</v>
      </c>
      <c r="L276" s="42">
        <v>1471.1389112903225</v>
      </c>
      <c r="M276" s="50"/>
      <c r="N276" s="39"/>
      <c r="O276" s="39"/>
      <c r="P276" s="42">
        <v>0</v>
      </c>
      <c r="Q276" s="52"/>
      <c r="S276" s="39"/>
      <c r="T276" s="39"/>
      <c r="U276" s="39"/>
      <c r="V276" s="39"/>
      <c r="W276" s="39"/>
      <c r="X276" s="39"/>
      <c r="Y276" s="39"/>
      <c r="Z276" s="39"/>
      <c r="AA276" s="39"/>
      <c r="AB276" s="39"/>
      <c r="AC276" s="39"/>
      <c r="AD276" s="39"/>
      <c r="AE276" s="39"/>
      <c r="AF276" s="39"/>
      <c r="AG276" s="39"/>
      <c r="AH276" s="39"/>
      <c r="AI276" s="39"/>
      <c r="AJ276" s="39"/>
      <c r="AK276" s="39"/>
      <c r="AL276" s="39"/>
      <c r="AM276" s="39"/>
      <c r="AN276" s="39"/>
      <c r="AO276" s="39"/>
      <c r="AP276" s="39"/>
      <c r="AQ276" s="39"/>
      <c r="AR276" s="39"/>
      <c r="AS276" s="39"/>
      <c r="AT276" s="39"/>
      <c r="AU276" s="39"/>
      <c r="AV276" s="39"/>
      <c r="AW276" s="39"/>
    </row>
    <row r="277" spans="1:49" s="48" customFormat="1" ht="12.75" customHeight="1" x14ac:dyDescent="0.25">
      <c r="A277" s="33" t="s">
        <v>48</v>
      </c>
      <c r="B277" s="51" t="s">
        <v>798</v>
      </c>
      <c r="C277" s="35" t="s">
        <v>799</v>
      </c>
      <c r="D277" s="92" t="s">
        <v>800</v>
      </c>
      <c r="E277" s="37" t="s">
        <v>54</v>
      </c>
      <c r="F277" s="38" t="s">
        <v>55</v>
      </c>
      <c r="G277" s="84"/>
      <c r="H277" s="40" t="s">
        <v>56</v>
      </c>
      <c r="I277" s="42"/>
      <c r="J277" s="39">
        <v>10.5</v>
      </c>
      <c r="K277" s="42">
        <v>140.10846774193547</v>
      </c>
      <c r="L277" s="42">
        <v>1471.1389112903225</v>
      </c>
      <c r="M277" s="50"/>
      <c r="N277" s="39"/>
      <c r="O277" s="39"/>
      <c r="P277" s="42">
        <v>0</v>
      </c>
      <c r="Q277" s="52"/>
      <c r="S277" s="39"/>
      <c r="T277" s="39"/>
      <c r="U277" s="39"/>
      <c r="V277" s="39"/>
      <c r="W277" s="39"/>
      <c r="X277" s="39"/>
      <c r="Y277" s="39"/>
      <c r="Z277" s="39"/>
      <c r="AA277" s="39"/>
      <c r="AB277" s="39"/>
      <c r="AC277" s="39"/>
      <c r="AD277" s="39"/>
      <c r="AE277" s="39"/>
      <c r="AF277" s="39"/>
      <c r="AG277" s="39"/>
      <c r="AH277" s="39"/>
      <c r="AI277" s="39"/>
      <c r="AJ277" s="39"/>
      <c r="AK277" s="39"/>
      <c r="AL277" s="39"/>
      <c r="AM277" s="39"/>
      <c r="AN277" s="39"/>
      <c r="AO277" s="39"/>
      <c r="AP277" s="39"/>
      <c r="AQ277" s="39"/>
      <c r="AR277" s="39"/>
      <c r="AS277" s="39"/>
      <c r="AT277" s="39"/>
      <c r="AU277" s="39"/>
      <c r="AV277" s="39"/>
      <c r="AW277" s="39"/>
    </row>
    <row r="278" spans="1:49" s="48" customFormat="1" ht="12.75" customHeight="1" x14ac:dyDescent="0.25">
      <c r="A278" s="33" t="s">
        <v>48</v>
      </c>
      <c r="B278" s="51" t="s">
        <v>801</v>
      </c>
      <c r="C278" s="35" t="s">
        <v>802</v>
      </c>
      <c r="D278" s="92" t="s">
        <v>803</v>
      </c>
      <c r="E278" s="37" t="s">
        <v>54</v>
      </c>
      <c r="F278" s="38" t="s">
        <v>55</v>
      </c>
      <c r="G278" s="84"/>
      <c r="H278" s="40" t="s">
        <v>56</v>
      </c>
      <c r="I278" s="42"/>
      <c r="J278" s="39">
        <v>10</v>
      </c>
      <c r="K278" s="42">
        <v>140.10846774193547</v>
      </c>
      <c r="L278" s="42">
        <v>1401.0846774193546</v>
      </c>
      <c r="M278" s="50"/>
      <c r="N278" s="39"/>
      <c r="O278" s="39"/>
      <c r="P278" s="42">
        <v>0</v>
      </c>
      <c r="Q278" s="52"/>
      <c r="S278" s="39"/>
      <c r="T278" s="39"/>
      <c r="U278" s="39"/>
      <c r="V278" s="39"/>
      <c r="W278" s="39"/>
      <c r="X278" s="39"/>
      <c r="Y278" s="39"/>
      <c r="Z278" s="39"/>
      <c r="AA278" s="39"/>
      <c r="AB278" s="39"/>
      <c r="AC278" s="39"/>
      <c r="AD278" s="39"/>
      <c r="AE278" s="39"/>
      <c r="AF278" s="39"/>
      <c r="AG278" s="39"/>
      <c r="AH278" s="39"/>
      <c r="AI278" s="39"/>
      <c r="AJ278" s="39"/>
      <c r="AK278" s="39"/>
      <c r="AL278" s="39"/>
      <c r="AM278" s="39"/>
      <c r="AN278" s="39"/>
      <c r="AO278" s="39"/>
      <c r="AP278" s="39"/>
      <c r="AQ278" s="39"/>
      <c r="AR278" s="39"/>
      <c r="AS278" s="39"/>
      <c r="AT278" s="39"/>
      <c r="AU278" s="39"/>
      <c r="AV278" s="39"/>
      <c r="AW278" s="39"/>
    </row>
    <row r="279" spans="1:49" s="48" customFormat="1" ht="12.75" customHeight="1" x14ac:dyDescent="0.25">
      <c r="A279" s="33" t="s">
        <v>48</v>
      </c>
      <c r="B279" s="51" t="s">
        <v>804</v>
      </c>
      <c r="C279" s="35" t="s">
        <v>805</v>
      </c>
      <c r="D279" s="92" t="s">
        <v>806</v>
      </c>
      <c r="E279" s="37" t="s">
        <v>54</v>
      </c>
      <c r="F279" s="38" t="s">
        <v>55</v>
      </c>
      <c r="G279" s="84"/>
      <c r="H279" s="40" t="s">
        <v>56</v>
      </c>
      <c r="I279" s="42"/>
      <c r="J279" s="39">
        <v>10</v>
      </c>
      <c r="K279" s="42">
        <v>140.10846774193547</v>
      </c>
      <c r="L279" s="42">
        <v>1401.0846774193546</v>
      </c>
      <c r="M279" s="50"/>
      <c r="N279" s="39"/>
      <c r="O279" s="39"/>
      <c r="P279" s="42">
        <v>0</v>
      </c>
      <c r="Q279" s="52"/>
      <c r="S279" s="39"/>
      <c r="T279" s="39"/>
      <c r="U279" s="39"/>
      <c r="V279" s="39"/>
      <c r="W279" s="39"/>
      <c r="X279" s="39"/>
      <c r="Y279" s="39"/>
      <c r="Z279" s="39"/>
      <c r="AA279" s="39"/>
      <c r="AB279" s="39"/>
      <c r="AC279" s="39"/>
      <c r="AD279" s="39"/>
      <c r="AE279" s="39"/>
      <c r="AF279" s="39"/>
      <c r="AG279" s="39"/>
      <c r="AH279" s="39"/>
      <c r="AI279" s="39"/>
      <c r="AJ279" s="39"/>
      <c r="AK279" s="39"/>
      <c r="AL279" s="39"/>
      <c r="AM279" s="39"/>
      <c r="AN279" s="39"/>
      <c r="AO279" s="39"/>
      <c r="AP279" s="39"/>
      <c r="AQ279" s="39"/>
      <c r="AR279" s="39"/>
      <c r="AS279" s="39"/>
      <c r="AT279" s="39"/>
      <c r="AU279" s="39"/>
      <c r="AV279" s="39"/>
      <c r="AW279" s="39"/>
    </row>
    <row r="280" spans="1:49" s="48" customFormat="1" ht="12.75" customHeight="1" x14ac:dyDescent="0.25">
      <c r="A280" s="33" t="s">
        <v>48</v>
      </c>
      <c r="B280" s="51" t="s">
        <v>807</v>
      </c>
      <c r="C280" s="35" t="s">
        <v>808</v>
      </c>
      <c r="D280" s="92" t="s">
        <v>809</v>
      </c>
      <c r="E280" s="37" t="s">
        <v>54</v>
      </c>
      <c r="F280" s="38" t="s">
        <v>55</v>
      </c>
      <c r="G280" s="84"/>
      <c r="H280" s="40" t="s">
        <v>56</v>
      </c>
      <c r="I280" s="42"/>
      <c r="J280" s="39">
        <v>10</v>
      </c>
      <c r="K280" s="42">
        <v>140.10846774193547</v>
      </c>
      <c r="L280" s="42">
        <v>1401.0846774193546</v>
      </c>
      <c r="M280" s="50"/>
      <c r="N280" s="39"/>
      <c r="O280" s="39"/>
      <c r="P280" s="42">
        <v>0</v>
      </c>
      <c r="Q280" s="52"/>
      <c r="S280" s="39"/>
      <c r="T280" s="39"/>
      <c r="U280" s="39"/>
      <c r="V280" s="39"/>
      <c r="W280" s="39"/>
      <c r="X280" s="39"/>
      <c r="Y280" s="39"/>
      <c r="Z280" s="39"/>
      <c r="AA280" s="39"/>
      <c r="AB280" s="39"/>
      <c r="AC280" s="39"/>
      <c r="AD280" s="39"/>
      <c r="AE280" s="39"/>
      <c r="AF280" s="39"/>
      <c r="AG280" s="39"/>
      <c r="AH280" s="39"/>
      <c r="AI280" s="39"/>
      <c r="AJ280" s="39"/>
      <c r="AK280" s="39"/>
      <c r="AL280" s="39"/>
      <c r="AM280" s="39"/>
      <c r="AN280" s="39"/>
      <c r="AO280" s="39"/>
      <c r="AP280" s="39"/>
      <c r="AQ280" s="39"/>
      <c r="AR280" s="39"/>
      <c r="AS280" s="39"/>
      <c r="AT280" s="39"/>
      <c r="AU280" s="39"/>
      <c r="AV280" s="39"/>
      <c r="AW280" s="39"/>
    </row>
    <row r="281" spans="1:49" s="64" customFormat="1" ht="12.75" customHeight="1" x14ac:dyDescent="0.25">
      <c r="A281" s="14" t="s">
        <v>48</v>
      </c>
      <c r="B281" s="15">
        <v>28243982</v>
      </c>
      <c r="C281" s="56" t="s">
        <v>810</v>
      </c>
      <c r="D281" s="91" t="s">
        <v>811</v>
      </c>
      <c r="E281" s="18" t="s">
        <v>958</v>
      </c>
      <c r="F281" s="58"/>
      <c r="G281" s="87"/>
      <c r="H281" s="87"/>
      <c r="I281" s="42"/>
      <c r="J281" s="20">
        <f>SUM(J282:J283)</f>
        <v>23.5</v>
      </c>
      <c r="K281" s="20">
        <v>140.10846774193499</v>
      </c>
      <c r="L281" s="22">
        <f>SUM(L282:L283)</f>
        <v>3292.5489919354836</v>
      </c>
      <c r="M281" s="88"/>
      <c r="N281" s="65"/>
      <c r="O281" s="65"/>
      <c r="P281" s="62"/>
      <c r="R281" s="48"/>
      <c r="S281" s="65"/>
      <c r="T281" s="65"/>
      <c r="U281" s="65"/>
      <c r="V281" s="65"/>
      <c r="W281" s="65"/>
      <c r="X281" s="65"/>
      <c r="Y281" s="65"/>
      <c r="Z281" s="65"/>
      <c r="AA281" s="65"/>
      <c r="AB281" s="65"/>
      <c r="AC281" s="65"/>
      <c r="AD281" s="65"/>
      <c r="AE281" s="65"/>
      <c r="AF281" s="65"/>
      <c r="AG281" s="65"/>
      <c r="AH281" s="65"/>
      <c r="AI281" s="65"/>
      <c r="AJ281" s="65"/>
      <c r="AK281" s="65"/>
      <c r="AL281" s="65"/>
      <c r="AM281" s="65"/>
      <c r="AN281" s="65"/>
      <c r="AO281" s="65"/>
      <c r="AP281" s="65"/>
      <c r="AQ281" s="65"/>
      <c r="AR281" s="65"/>
      <c r="AS281" s="65"/>
      <c r="AT281" s="65"/>
      <c r="AU281" s="65"/>
      <c r="AV281" s="65"/>
      <c r="AW281" s="65"/>
    </row>
    <row r="282" spans="1:49" s="48" customFormat="1" ht="12.75" customHeight="1" x14ac:dyDescent="0.25">
      <c r="A282" s="33" t="s">
        <v>48</v>
      </c>
      <c r="B282" s="51" t="s">
        <v>812</v>
      </c>
      <c r="C282" s="35" t="s">
        <v>813</v>
      </c>
      <c r="D282" s="92" t="s">
        <v>814</v>
      </c>
      <c r="E282" s="37" t="s">
        <v>54</v>
      </c>
      <c r="F282" s="38" t="s">
        <v>55</v>
      </c>
      <c r="G282" s="84"/>
      <c r="H282" s="40" t="s">
        <v>56</v>
      </c>
      <c r="I282" s="42"/>
      <c r="J282" s="39">
        <v>10.5</v>
      </c>
      <c r="K282" s="42">
        <v>140.10846774193547</v>
      </c>
      <c r="L282" s="42">
        <v>1471.1389112903225</v>
      </c>
      <c r="M282" s="50"/>
      <c r="N282" s="39"/>
      <c r="O282" s="39"/>
      <c r="P282" s="42">
        <v>0</v>
      </c>
      <c r="Q282" s="52"/>
      <c r="S282" s="39"/>
      <c r="T282" s="39"/>
      <c r="U282" s="39"/>
      <c r="V282" s="39"/>
      <c r="W282" s="39"/>
      <c r="X282" s="39"/>
      <c r="Y282" s="39"/>
      <c r="Z282" s="39"/>
      <c r="AA282" s="39"/>
      <c r="AB282" s="39"/>
      <c r="AC282" s="39"/>
      <c r="AD282" s="39"/>
      <c r="AE282" s="39"/>
      <c r="AF282" s="39"/>
      <c r="AG282" s="39"/>
      <c r="AH282" s="39"/>
      <c r="AI282" s="39"/>
      <c r="AJ282" s="39"/>
      <c r="AK282" s="39"/>
      <c r="AL282" s="39"/>
      <c r="AM282" s="39"/>
      <c r="AN282" s="39"/>
      <c r="AO282" s="39"/>
      <c r="AP282" s="39"/>
      <c r="AQ282" s="39"/>
      <c r="AR282" s="39"/>
      <c r="AS282" s="39"/>
      <c r="AT282" s="39"/>
      <c r="AU282" s="39"/>
      <c r="AV282" s="39"/>
      <c r="AW282" s="39"/>
    </row>
    <row r="283" spans="1:49" s="48" customFormat="1" ht="12.75" customHeight="1" x14ac:dyDescent="0.25">
      <c r="A283" s="33" t="s">
        <v>48</v>
      </c>
      <c r="B283" s="51" t="s">
        <v>815</v>
      </c>
      <c r="C283" s="35" t="s">
        <v>816</v>
      </c>
      <c r="D283" s="92" t="s">
        <v>817</v>
      </c>
      <c r="E283" s="37" t="s">
        <v>54</v>
      </c>
      <c r="F283" s="38" t="s">
        <v>55</v>
      </c>
      <c r="G283" s="84"/>
      <c r="H283" s="40" t="s">
        <v>56</v>
      </c>
      <c r="I283" s="42"/>
      <c r="J283" s="39">
        <v>13</v>
      </c>
      <c r="K283" s="42">
        <v>140.10846774193547</v>
      </c>
      <c r="L283" s="42">
        <v>1821.4100806451611</v>
      </c>
      <c r="M283" s="50"/>
      <c r="N283" s="39"/>
      <c r="O283" s="39"/>
      <c r="P283" s="42">
        <v>0</v>
      </c>
      <c r="Q283" s="52"/>
      <c r="S283" s="39"/>
      <c r="T283" s="39"/>
      <c r="U283" s="39"/>
      <c r="V283" s="39"/>
      <c r="W283" s="39"/>
      <c r="X283" s="39"/>
      <c r="Y283" s="39"/>
      <c r="Z283" s="39"/>
      <c r="AA283" s="39"/>
      <c r="AB283" s="39"/>
      <c r="AC283" s="39"/>
      <c r="AD283" s="39"/>
      <c r="AE283" s="39"/>
      <c r="AF283" s="39"/>
      <c r="AG283" s="39"/>
      <c r="AH283" s="39"/>
      <c r="AI283" s="39"/>
      <c r="AJ283" s="39"/>
      <c r="AK283" s="39"/>
      <c r="AL283" s="39"/>
      <c r="AM283" s="39"/>
      <c r="AN283" s="39"/>
      <c r="AO283" s="39"/>
      <c r="AP283" s="39"/>
      <c r="AQ283" s="39"/>
      <c r="AR283" s="39"/>
      <c r="AS283" s="39"/>
      <c r="AT283" s="39"/>
      <c r="AU283" s="39"/>
      <c r="AV283" s="39"/>
      <c r="AW283" s="39"/>
    </row>
    <row r="284" spans="1:49" s="64" customFormat="1" ht="12.75" customHeight="1" x14ac:dyDescent="0.25">
      <c r="A284" s="14" t="s">
        <v>48</v>
      </c>
      <c r="B284" s="15">
        <v>28243986</v>
      </c>
      <c r="C284" s="56" t="s">
        <v>818</v>
      </c>
      <c r="D284" s="80" t="s">
        <v>819</v>
      </c>
      <c r="E284" s="18" t="s">
        <v>958</v>
      </c>
      <c r="F284" s="58"/>
      <c r="G284" s="87"/>
      <c r="H284" s="87"/>
      <c r="I284" s="61"/>
      <c r="J284" s="20">
        <f>SUM(J285:J296)</f>
        <v>304</v>
      </c>
      <c r="K284" s="20">
        <v>140.10846774193499</v>
      </c>
      <c r="L284" s="22">
        <f>SUM(L285:L296)</f>
        <v>42592.974193548383</v>
      </c>
      <c r="M284" s="62"/>
      <c r="N284" s="63"/>
      <c r="O284" s="62"/>
      <c r="P284" s="62"/>
      <c r="R284" s="48"/>
      <c r="S284" s="65"/>
      <c r="T284" s="65"/>
      <c r="U284" s="65"/>
      <c r="V284" s="65"/>
      <c r="W284" s="65"/>
      <c r="X284" s="65"/>
      <c r="Y284" s="65"/>
      <c r="Z284" s="65"/>
      <c r="AA284" s="65"/>
      <c r="AB284" s="65"/>
      <c r="AC284" s="65"/>
      <c r="AD284" s="65"/>
      <c r="AE284" s="65"/>
      <c r="AF284" s="65"/>
      <c r="AG284" s="65"/>
      <c r="AH284" s="65"/>
      <c r="AI284" s="65"/>
      <c r="AJ284" s="65"/>
      <c r="AK284" s="65"/>
      <c r="AL284" s="65"/>
      <c r="AM284" s="65"/>
      <c r="AN284" s="65"/>
      <c r="AO284" s="65"/>
      <c r="AP284" s="65"/>
      <c r="AQ284" s="65"/>
      <c r="AR284" s="65"/>
      <c r="AS284" s="65"/>
      <c r="AT284" s="65"/>
      <c r="AU284" s="65"/>
      <c r="AV284" s="65"/>
      <c r="AW284" s="65"/>
    </row>
    <row r="285" spans="1:49" s="48" customFormat="1" ht="12.75" customHeight="1" x14ac:dyDescent="0.25">
      <c r="A285" s="33" t="s">
        <v>48</v>
      </c>
      <c r="B285" s="51"/>
      <c r="C285" s="35" t="s">
        <v>820</v>
      </c>
      <c r="D285" s="104" t="s">
        <v>821</v>
      </c>
      <c r="E285" s="37"/>
      <c r="F285" s="38" t="s">
        <v>578</v>
      </c>
      <c r="G285" s="84"/>
      <c r="H285" s="40" t="s">
        <v>56</v>
      </c>
      <c r="I285" s="42"/>
      <c r="J285" s="39"/>
      <c r="K285" s="42"/>
      <c r="L285" s="42">
        <v>0</v>
      </c>
      <c r="M285" s="50"/>
      <c r="N285" s="39"/>
      <c r="O285" s="39"/>
      <c r="P285" s="42">
        <v>0</v>
      </c>
      <c r="Q285" s="52"/>
      <c r="S285" s="39"/>
      <c r="T285" s="39"/>
      <c r="U285" s="39"/>
      <c r="V285" s="39"/>
      <c r="W285" s="39"/>
      <c r="X285" s="39"/>
      <c r="Y285" s="39"/>
      <c r="Z285" s="39"/>
      <c r="AA285" s="39"/>
      <c r="AB285" s="39"/>
      <c r="AC285" s="39"/>
      <c r="AD285" s="39"/>
      <c r="AE285" s="39"/>
      <c r="AF285" s="39"/>
      <c r="AG285" s="39"/>
      <c r="AH285" s="39"/>
      <c r="AI285" s="39"/>
      <c r="AJ285" s="39"/>
      <c r="AK285" s="39"/>
      <c r="AL285" s="39"/>
      <c r="AM285" s="39"/>
      <c r="AN285" s="39"/>
      <c r="AO285" s="39"/>
      <c r="AP285" s="39"/>
      <c r="AQ285" s="39"/>
      <c r="AR285" s="39"/>
      <c r="AS285" s="39"/>
      <c r="AT285" s="39"/>
      <c r="AU285" s="39"/>
      <c r="AV285" s="39"/>
      <c r="AW285" s="39"/>
    </row>
    <row r="286" spans="1:49" s="48" customFormat="1" ht="12.75" customHeight="1" x14ac:dyDescent="0.25">
      <c r="A286" s="33" t="s">
        <v>48</v>
      </c>
      <c r="B286" s="51" t="s">
        <v>822</v>
      </c>
      <c r="C286" s="35" t="s">
        <v>823</v>
      </c>
      <c r="D286" s="104" t="s">
        <v>824</v>
      </c>
      <c r="E286" s="37" t="s">
        <v>54</v>
      </c>
      <c r="F286" s="38" t="s">
        <v>55</v>
      </c>
      <c r="G286" s="84"/>
      <c r="H286" s="40" t="s">
        <v>56</v>
      </c>
      <c r="I286" s="42"/>
      <c r="J286" s="39">
        <v>110</v>
      </c>
      <c r="K286" s="42">
        <v>140.10846774193547</v>
      </c>
      <c r="L286" s="42">
        <v>15411.931451612902</v>
      </c>
      <c r="M286" s="50"/>
      <c r="N286" s="39"/>
      <c r="O286" s="39"/>
      <c r="P286" s="42">
        <v>0</v>
      </c>
      <c r="Q286" s="52"/>
      <c r="S286" s="39"/>
      <c r="T286" s="39"/>
      <c r="U286" s="39"/>
      <c r="V286" s="39"/>
      <c r="W286" s="39"/>
      <c r="X286" s="39"/>
      <c r="Y286" s="39"/>
      <c r="Z286" s="39"/>
      <c r="AA286" s="39"/>
      <c r="AB286" s="39"/>
      <c r="AC286" s="39"/>
      <c r="AD286" s="39"/>
      <c r="AE286" s="39"/>
      <c r="AF286" s="39"/>
      <c r="AG286" s="39"/>
      <c r="AH286" s="39"/>
      <c r="AI286" s="39"/>
      <c r="AJ286" s="39"/>
      <c r="AK286" s="39"/>
      <c r="AL286" s="39"/>
      <c r="AM286" s="39"/>
      <c r="AN286" s="39"/>
      <c r="AO286" s="39"/>
      <c r="AP286" s="39"/>
      <c r="AQ286" s="39"/>
      <c r="AR286" s="39"/>
      <c r="AS286" s="39"/>
      <c r="AT286" s="39"/>
      <c r="AU286" s="39"/>
      <c r="AV286" s="39"/>
      <c r="AW286" s="39"/>
    </row>
    <row r="287" spans="1:49" s="48" customFormat="1" ht="12.75" customHeight="1" x14ac:dyDescent="0.25">
      <c r="A287" s="33" t="s">
        <v>48</v>
      </c>
      <c r="B287" s="51"/>
      <c r="C287" s="35" t="s">
        <v>825</v>
      </c>
      <c r="D287" s="104" t="s">
        <v>826</v>
      </c>
      <c r="E287" s="37"/>
      <c r="F287" s="38" t="s">
        <v>578</v>
      </c>
      <c r="G287" s="84"/>
      <c r="H287" s="40" t="s">
        <v>56</v>
      </c>
      <c r="I287" s="42"/>
      <c r="J287" s="39"/>
      <c r="K287" s="42"/>
      <c r="L287" s="42">
        <v>0</v>
      </c>
      <c r="M287" s="50"/>
      <c r="N287" s="39"/>
      <c r="O287" s="39"/>
      <c r="P287" s="42">
        <v>0</v>
      </c>
      <c r="Q287" s="52"/>
      <c r="S287" s="39"/>
      <c r="T287" s="39"/>
      <c r="U287" s="39"/>
      <c r="V287" s="39"/>
      <c r="W287" s="39"/>
      <c r="X287" s="39"/>
      <c r="Y287" s="39"/>
      <c r="Z287" s="39"/>
      <c r="AA287" s="39"/>
      <c r="AB287" s="39"/>
      <c r="AC287" s="39"/>
      <c r="AD287" s="39"/>
      <c r="AE287" s="39"/>
      <c r="AF287" s="39"/>
      <c r="AG287" s="39"/>
      <c r="AH287" s="39"/>
      <c r="AI287" s="39"/>
      <c r="AJ287" s="39"/>
      <c r="AK287" s="39"/>
      <c r="AL287" s="39"/>
      <c r="AM287" s="39"/>
      <c r="AN287" s="39"/>
      <c r="AO287" s="39"/>
      <c r="AP287" s="39"/>
      <c r="AQ287" s="39"/>
      <c r="AR287" s="39"/>
      <c r="AS287" s="39"/>
      <c r="AT287" s="39"/>
      <c r="AU287" s="39"/>
      <c r="AV287" s="39"/>
      <c r="AW287" s="39"/>
    </row>
    <row r="288" spans="1:49" s="48" customFormat="1" ht="12.75" customHeight="1" x14ac:dyDescent="0.25">
      <c r="A288" s="33" t="s">
        <v>48</v>
      </c>
      <c r="B288" s="51" t="s">
        <v>827</v>
      </c>
      <c r="C288" s="35" t="s">
        <v>828</v>
      </c>
      <c r="D288" s="104" t="s">
        <v>829</v>
      </c>
      <c r="E288" s="37" t="s">
        <v>54</v>
      </c>
      <c r="F288" s="38" t="s">
        <v>55</v>
      </c>
      <c r="G288" s="84"/>
      <c r="H288" s="40" t="s">
        <v>56</v>
      </c>
      <c r="I288" s="42"/>
      <c r="J288" s="39">
        <v>16</v>
      </c>
      <c r="K288" s="42">
        <v>140.10846774193547</v>
      </c>
      <c r="L288" s="42">
        <v>2241.7354838709675</v>
      </c>
      <c r="M288" s="50"/>
      <c r="N288" s="39"/>
      <c r="O288" s="39"/>
      <c r="P288" s="42">
        <v>0</v>
      </c>
      <c r="Q288" s="52"/>
      <c r="S288" s="39"/>
      <c r="T288" s="39"/>
      <c r="U288" s="39"/>
      <c r="V288" s="39"/>
      <c r="W288" s="39"/>
      <c r="X288" s="39"/>
      <c r="Y288" s="39"/>
      <c r="Z288" s="39"/>
      <c r="AA288" s="39"/>
      <c r="AB288" s="39"/>
      <c r="AC288" s="39"/>
      <c r="AD288" s="39"/>
      <c r="AE288" s="39"/>
      <c r="AF288" s="39"/>
      <c r="AG288" s="39"/>
      <c r="AH288" s="39"/>
      <c r="AI288" s="39"/>
      <c r="AJ288" s="39"/>
      <c r="AK288" s="39"/>
      <c r="AL288" s="39"/>
      <c r="AM288" s="39"/>
      <c r="AN288" s="39"/>
      <c r="AO288" s="39"/>
      <c r="AP288" s="39"/>
      <c r="AQ288" s="39"/>
      <c r="AR288" s="39"/>
      <c r="AS288" s="39"/>
      <c r="AT288" s="39"/>
      <c r="AU288" s="39"/>
      <c r="AV288" s="39"/>
      <c r="AW288" s="39"/>
    </row>
    <row r="289" spans="1:49" s="48" customFormat="1" ht="12.75" customHeight="1" x14ac:dyDescent="0.25">
      <c r="A289" s="33" t="s">
        <v>48</v>
      </c>
      <c r="B289" s="51" t="s">
        <v>830</v>
      </c>
      <c r="C289" s="35" t="s">
        <v>831</v>
      </c>
      <c r="D289" s="104" t="s">
        <v>832</v>
      </c>
      <c r="E289" s="37" t="s">
        <v>54</v>
      </c>
      <c r="F289" s="38" t="s">
        <v>55</v>
      </c>
      <c r="G289" s="84"/>
      <c r="H289" s="40" t="s">
        <v>56</v>
      </c>
      <c r="I289" s="42"/>
      <c r="J289" s="39">
        <v>40</v>
      </c>
      <c r="K289" s="42">
        <v>140.10846774193547</v>
      </c>
      <c r="L289" s="42">
        <v>5604.3387096774186</v>
      </c>
      <c r="M289" s="50"/>
      <c r="N289" s="39"/>
      <c r="O289" s="39"/>
      <c r="P289" s="42">
        <v>0</v>
      </c>
      <c r="Q289" s="52"/>
      <c r="S289" s="39"/>
      <c r="T289" s="39"/>
      <c r="U289" s="39"/>
      <c r="V289" s="39"/>
      <c r="W289" s="39"/>
      <c r="X289" s="39"/>
      <c r="Y289" s="39"/>
      <c r="Z289" s="39"/>
      <c r="AA289" s="39"/>
      <c r="AB289" s="39"/>
      <c r="AC289" s="39"/>
      <c r="AD289" s="39"/>
      <c r="AE289" s="39"/>
      <c r="AF289" s="39"/>
      <c r="AG289" s="39"/>
      <c r="AH289" s="39"/>
      <c r="AI289" s="39"/>
      <c r="AJ289" s="39"/>
      <c r="AK289" s="39"/>
      <c r="AL289" s="39"/>
      <c r="AM289" s="39"/>
      <c r="AN289" s="39"/>
      <c r="AO289" s="39"/>
      <c r="AP289" s="39"/>
      <c r="AQ289" s="39"/>
      <c r="AR289" s="39"/>
      <c r="AS289" s="39"/>
      <c r="AT289" s="39"/>
      <c r="AU289" s="39"/>
      <c r="AV289" s="39"/>
      <c r="AW289" s="39"/>
    </row>
    <row r="290" spans="1:49" s="48" customFormat="1" ht="22.5" x14ac:dyDescent="0.25">
      <c r="A290" s="33" t="s">
        <v>48</v>
      </c>
      <c r="B290" s="51" t="s">
        <v>833</v>
      </c>
      <c r="C290" s="35" t="s">
        <v>834</v>
      </c>
      <c r="D290" s="104" t="s">
        <v>835</v>
      </c>
      <c r="E290" s="37" t="s">
        <v>54</v>
      </c>
      <c r="F290" s="38" t="s">
        <v>55</v>
      </c>
      <c r="G290" s="84"/>
      <c r="H290" s="40" t="s">
        <v>56</v>
      </c>
      <c r="I290" s="42"/>
      <c r="J290" s="39">
        <v>40</v>
      </c>
      <c r="K290" s="42">
        <v>140.10846774193547</v>
      </c>
      <c r="L290" s="42">
        <v>5604.3387096774186</v>
      </c>
      <c r="M290" s="50"/>
      <c r="N290" s="39"/>
      <c r="O290" s="39"/>
      <c r="P290" s="42">
        <v>0</v>
      </c>
      <c r="Q290" s="52"/>
      <c r="S290" s="39"/>
      <c r="T290" s="39"/>
      <c r="U290" s="39"/>
      <c r="V290" s="39"/>
      <c r="W290" s="39"/>
      <c r="X290" s="39"/>
      <c r="Y290" s="39"/>
      <c r="Z290" s="39"/>
      <c r="AA290" s="39"/>
      <c r="AB290" s="39"/>
      <c r="AC290" s="39"/>
      <c r="AD290" s="39"/>
      <c r="AE290" s="39"/>
      <c r="AF290" s="39"/>
      <c r="AG290" s="39"/>
      <c r="AH290" s="39"/>
      <c r="AI290" s="39"/>
      <c r="AJ290" s="39"/>
      <c r="AK290" s="39"/>
      <c r="AL290" s="39"/>
      <c r="AM290" s="39"/>
      <c r="AN290" s="39"/>
      <c r="AO290" s="39"/>
      <c r="AP290" s="39"/>
      <c r="AQ290" s="39"/>
      <c r="AR290" s="39"/>
      <c r="AS290" s="39"/>
      <c r="AT290" s="39"/>
      <c r="AU290" s="39"/>
      <c r="AV290" s="39"/>
      <c r="AW290" s="39"/>
    </row>
    <row r="291" spans="1:49" s="48" customFormat="1" ht="12.75" customHeight="1" x14ac:dyDescent="0.25">
      <c r="A291" s="33" t="s">
        <v>48</v>
      </c>
      <c r="B291" s="51" t="s">
        <v>836</v>
      </c>
      <c r="C291" s="35" t="s">
        <v>837</v>
      </c>
      <c r="D291" s="86" t="s">
        <v>838</v>
      </c>
      <c r="E291" s="38" t="s">
        <v>69</v>
      </c>
      <c r="F291" s="38" t="s">
        <v>55</v>
      </c>
      <c r="G291" s="84"/>
      <c r="H291" s="84" t="s">
        <v>839</v>
      </c>
      <c r="I291" s="114"/>
      <c r="J291" s="39">
        <v>24</v>
      </c>
      <c r="K291" s="42">
        <v>140.10846774193547</v>
      </c>
      <c r="L291" s="114">
        <v>3362.6032258064515</v>
      </c>
      <c r="M291" s="115"/>
      <c r="N291" s="39"/>
      <c r="O291" s="39"/>
      <c r="P291" s="114">
        <v>0</v>
      </c>
      <c r="Q291" s="116"/>
      <c r="S291" s="39"/>
      <c r="T291" s="39"/>
      <c r="U291" s="39"/>
      <c r="V291" s="39"/>
      <c r="W291" s="39"/>
      <c r="X291" s="39"/>
      <c r="Y291" s="39"/>
      <c r="Z291" s="39"/>
      <c r="AA291" s="39"/>
      <c r="AB291" s="39"/>
      <c r="AC291" s="39"/>
      <c r="AD291" s="39"/>
      <c r="AE291" s="39"/>
      <c r="AF291" s="39"/>
      <c r="AG291" s="39"/>
      <c r="AH291" s="39"/>
      <c r="AI291" s="39"/>
      <c r="AJ291" s="39"/>
      <c r="AK291" s="39"/>
      <c r="AL291" s="39"/>
      <c r="AM291" s="39"/>
      <c r="AN291" s="39"/>
      <c r="AO291" s="39"/>
      <c r="AP291" s="39"/>
      <c r="AQ291" s="39"/>
      <c r="AR291" s="39"/>
      <c r="AS291" s="39"/>
      <c r="AT291" s="39"/>
      <c r="AU291" s="39"/>
      <c r="AV291" s="39"/>
      <c r="AW291" s="39"/>
    </row>
    <row r="292" spans="1:49" s="48" customFormat="1" ht="12.75" customHeight="1" x14ac:dyDescent="0.25">
      <c r="A292" s="33" t="s">
        <v>48</v>
      </c>
      <c r="B292" s="51" t="s">
        <v>840</v>
      </c>
      <c r="C292" s="35" t="s">
        <v>841</v>
      </c>
      <c r="D292" s="104" t="s">
        <v>842</v>
      </c>
      <c r="E292" s="37" t="s">
        <v>54</v>
      </c>
      <c r="F292" s="38" t="s">
        <v>55</v>
      </c>
      <c r="G292" s="84"/>
      <c r="H292" s="40" t="s">
        <v>56</v>
      </c>
      <c r="I292" s="42"/>
      <c r="J292" s="39">
        <v>10.5</v>
      </c>
      <c r="K292" s="42">
        <v>140.10846774193547</v>
      </c>
      <c r="L292" s="42">
        <v>1471.1389112903225</v>
      </c>
      <c r="M292" s="50"/>
      <c r="N292" s="39"/>
      <c r="O292" s="39"/>
      <c r="P292" s="42">
        <v>0</v>
      </c>
      <c r="Q292" s="52"/>
      <c r="S292" s="39"/>
      <c r="T292" s="39"/>
      <c r="U292" s="39"/>
      <c r="V292" s="39"/>
      <c r="W292" s="39"/>
      <c r="X292" s="39"/>
      <c r="Y292" s="39"/>
      <c r="Z292" s="39"/>
      <c r="AA292" s="39"/>
      <c r="AB292" s="39"/>
      <c r="AC292" s="39"/>
      <c r="AD292" s="39"/>
      <c r="AE292" s="39"/>
      <c r="AF292" s="39"/>
      <c r="AG292" s="39"/>
      <c r="AH292" s="39"/>
      <c r="AI292" s="39"/>
      <c r="AJ292" s="39"/>
      <c r="AK292" s="39"/>
      <c r="AL292" s="39"/>
      <c r="AM292" s="39"/>
      <c r="AN292" s="39"/>
      <c r="AO292" s="39"/>
      <c r="AP292" s="39"/>
      <c r="AQ292" s="39"/>
      <c r="AR292" s="39"/>
      <c r="AS292" s="39"/>
      <c r="AT292" s="39"/>
      <c r="AU292" s="39"/>
      <c r="AV292" s="39"/>
      <c r="AW292" s="39"/>
    </row>
    <row r="293" spans="1:49" s="48" customFormat="1" ht="12.75" customHeight="1" x14ac:dyDescent="0.25">
      <c r="A293" s="33" t="s">
        <v>48</v>
      </c>
      <c r="B293" s="51" t="s">
        <v>843</v>
      </c>
      <c r="C293" s="35" t="s">
        <v>844</v>
      </c>
      <c r="D293" s="104" t="s">
        <v>845</v>
      </c>
      <c r="E293" s="37" t="s">
        <v>54</v>
      </c>
      <c r="F293" s="38" t="s">
        <v>55</v>
      </c>
      <c r="G293" s="84"/>
      <c r="H293" s="40" t="s">
        <v>56</v>
      </c>
      <c r="I293" s="42"/>
      <c r="J293" s="39">
        <v>20</v>
      </c>
      <c r="K293" s="42">
        <v>140.10846774193547</v>
      </c>
      <c r="L293" s="42">
        <v>2802.1693548387093</v>
      </c>
      <c r="M293" s="50"/>
      <c r="N293" s="39"/>
      <c r="O293" s="39"/>
      <c r="P293" s="42">
        <v>0</v>
      </c>
      <c r="Q293" s="52"/>
      <c r="S293" s="39"/>
      <c r="T293" s="39"/>
      <c r="U293" s="39"/>
      <c r="V293" s="39"/>
      <c r="W293" s="39"/>
      <c r="X293" s="39"/>
      <c r="Y293" s="39"/>
      <c r="Z293" s="39"/>
      <c r="AA293" s="39"/>
      <c r="AB293" s="39"/>
      <c r="AC293" s="39"/>
      <c r="AD293" s="39"/>
      <c r="AE293" s="39"/>
      <c r="AF293" s="39"/>
      <c r="AG293" s="39"/>
      <c r="AH293" s="39"/>
      <c r="AI293" s="39"/>
      <c r="AJ293" s="39"/>
      <c r="AK293" s="39"/>
      <c r="AL293" s="39"/>
      <c r="AM293" s="39"/>
      <c r="AN293" s="39"/>
      <c r="AO293" s="39"/>
      <c r="AP293" s="39"/>
      <c r="AQ293" s="39"/>
      <c r="AR293" s="39"/>
      <c r="AS293" s="39"/>
      <c r="AT293" s="39"/>
      <c r="AU293" s="39"/>
      <c r="AV293" s="39"/>
      <c r="AW293" s="39"/>
    </row>
    <row r="294" spans="1:49" s="48" customFormat="1" ht="12.75" customHeight="1" x14ac:dyDescent="0.25">
      <c r="A294" s="33" t="s">
        <v>48</v>
      </c>
      <c r="B294" s="51" t="s">
        <v>846</v>
      </c>
      <c r="C294" s="35" t="s">
        <v>847</v>
      </c>
      <c r="D294" s="104" t="s">
        <v>848</v>
      </c>
      <c r="E294" s="37" t="s">
        <v>54</v>
      </c>
      <c r="F294" s="38" t="s">
        <v>55</v>
      </c>
      <c r="G294" s="84"/>
      <c r="H294" s="40" t="s">
        <v>56</v>
      </c>
      <c r="I294" s="42"/>
      <c r="J294" s="39">
        <v>8</v>
      </c>
      <c r="K294" s="42">
        <v>140.10846774193547</v>
      </c>
      <c r="L294" s="42">
        <v>1120.8677419354838</v>
      </c>
      <c r="M294" s="50"/>
      <c r="N294" s="39"/>
      <c r="O294" s="39"/>
      <c r="P294" s="42">
        <v>0</v>
      </c>
      <c r="Q294" s="52"/>
      <c r="S294" s="39"/>
      <c r="T294" s="39"/>
      <c r="U294" s="39"/>
      <c r="V294" s="39"/>
      <c r="W294" s="39"/>
      <c r="X294" s="39"/>
      <c r="Y294" s="39"/>
      <c r="Z294" s="39"/>
      <c r="AA294" s="39"/>
      <c r="AB294" s="39"/>
      <c r="AC294" s="39"/>
      <c r="AD294" s="39"/>
      <c r="AE294" s="39"/>
      <c r="AF294" s="39"/>
      <c r="AG294" s="39"/>
      <c r="AH294" s="39"/>
      <c r="AI294" s="39"/>
      <c r="AJ294" s="39"/>
      <c r="AK294" s="39"/>
      <c r="AL294" s="39"/>
      <c r="AM294" s="39"/>
      <c r="AN294" s="39"/>
      <c r="AO294" s="39"/>
      <c r="AP294" s="39"/>
      <c r="AQ294" s="39"/>
      <c r="AR294" s="39"/>
      <c r="AS294" s="39"/>
      <c r="AT294" s="39"/>
      <c r="AU294" s="39"/>
      <c r="AV294" s="39"/>
      <c r="AW294" s="39"/>
    </row>
    <row r="295" spans="1:49" s="48" customFormat="1" ht="12.75" customHeight="1" x14ac:dyDescent="0.25">
      <c r="A295" s="33" t="s">
        <v>48</v>
      </c>
      <c r="B295" s="51" t="s">
        <v>849</v>
      </c>
      <c r="C295" s="35" t="s">
        <v>850</v>
      </c>
      <c r="D295" s="104" t="s">
        <v>851</v>
      </c>
      <c r="E295" s="37" t="s">
        <v>54</v>
      </c>
      <c r="F295" s="38" t="s">
        <v>55</v>
      </c>
      <c r="G295" s="84"/>
      <c r="H295" s="40" t="s">
        <v>56</v>
      </c>
      <c r="I295" s="42"/>
      <c r="J295" s="39">
        <v>10.5</v>
      </c>
      <c r="K295" s="42">
        <v>140.10846774193547</v>
      </c>
      <c r="L295" s="42">
        <v>1471.1389112903225</v>
      </c>
      <c r="M295" s="50"/>
      <c r="N295" s="39"/>
      <c r="O295" s="39"/>
      <c r="P295" s="42">
        <v>0</v>
      </c>
      <c r="Q295" s="52"/>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row>
    <row r="296" spans="1:49" s="48" customFormat="1" ht="12.75" customHeight="1" x14ac:dyDescent="0.25">
      <c r="A296" s="33" t="s">
        <v>48</v>
      </c>
      <c r="B296" s="51" t="s">
        <v>852</v>
      </c>
      <c r="C296" s="35" t="s">
        <v>853</v>
      </c>
      <c r="D296" s="104" t="s">
        <v>854</v>
      </c>
      <c r="E296" s="37" t="s">
        <v>54</v>
      </c>
      <c r="F296" s="38" t="s">
        <v>55</v>
      </c>
      <c r="G296" s="84"/>
      <c r="H296" s="40" t="s">
        <v>56</v>
      </c>
      <c r="I296" s="42"/>
      <c r="J296" s="39">
        <v>25</v>
      </c>
      <c r="K296" s="42">
        <v>140.10846774193547</v>
      </c>
      <c r="L296" s="42">
        <v>3502.7116935483868</v>
      </c>
      <c r="M296" s="50"/>
      <c r="N296" s="39"/>
      <c r="O296" s="39"/>
      <c r="P296" s="42">
        <v>0</v>
      </c>
      <c r="Q296" s="52"/>
      <c r="S296" s="39"/>
      <c r="T296" s="39"/>
      <c r="U296" s="39"/>
      <c r="V296" s="39"/>
      <c r="W296" s="39"/>
      <c r="X296" s="39"/>
      <c r="Y296" s="39"/>
      <c r="Z296" s="39"/>
      <c r="AA296" s="39"/>
      <c r="AB296" s="39"/>
      <c r="AC296" s="39"/>
      <c r="AD296" s="39"/>
      <c r="AE296" s="39"/>
      <c r="AF296" s="39"/>
      <c r="AG296" s="39"/>
      <c r="AH296" s="39"/>
      <c r="AI296" s="39"/>
      <c r="AJ296" s="39"/>
      <c r="AK296" s="39"/>
      <c r="AL296" s="39"/>
      <c r="AM296" s="39"/>
      <c r="AN296" s="39"/>
      <c r="AO296" s="39"/>
      <c r="AP296" s="39"/>
      <c r="AQ296" s="39"/>
      <c r="AR296" s="39"/>
      <c r="AS296" s="39"/>
      <c r="AT296" s="39"/>
      <c r="AU296" s="39"/>
      <c r="AV296" s="39"/>
      <c r="AW296" s="39"/>
    </row>
    <row r="297" spans="1:49" s="64" customFormat="1" ht="12.75" customHeight="1" x14ac:dyDescent="0.25">
      <c r="A297" s="14" t="s">
        <v>48</v>
      </c>
      <c r="B297" s="15">
        <v>28243986</v>
      </c>
      <c r="C297" s="56" t="s">
        <v>855</v>
      </c>
      <c r="D297" s="80" t="s">
        <v>856</v>
      </c>
      <c r="E297" s="18" t="s">
        <v>958</v>
      </c>
      <c r="F297" s="58"/>
      <c r="G297" s="87"/>
      <c r="H297" s="87"/>
      <c r="I297" s="42"/>
      <c r="J297" s="20">
        <f>SUM(J298:J302)</f>
        <v>85</v>
      </c>
      <c r="K297" s="20">
        <v>140.10846774193499</v>
      </c>
      <c r="L297" s="22">
        <f>SUM(L298:L302)</f>
        <v>11909.219758064515</v>
      </c>
      <c r="M297" s="88"/>
      <c r="N297" s="65"/>
      <c r="O297" s="65"/>
      <c r="P297" s="62"/>
      <c r="R297" s="48"/>
      <c r="S297" s="65"/>
      <c r="T297" s="65"/>
      <c r="U297" s="65"/>
      <c r="V297" s="65"/>
      <c r="W297" s="65"/>
      <c r="X297" s="65"/>
      <c r="Y297" s="65"/>
      <c r="Z297" s="65"/>
      <c r="AA297" s="65"/>
      <c r="AB297" s="65"/>
      <c r="AC297" s="65"/>
      <c r="AD297" s="65"/>
      <c r="AE297" s="65"/>
      <c r="AF297" s="65"/>
      <c r="AG297" s="65"/>
      <c r="AH297" s="65"/>
      <c r="AI297" s="65"/>
      <c r="AJ297" s="65"/>
      <c r="AK297" s="65"/>
      <c r="AL297" s="65"/>
      <c r="AM297" s="65"/>
      <c r="AN297" s="65"/>
      <c r="AO297" s="65"/>
      <c r="AP297" s="65"/>
      <c r="AQ297" s="65"/>
      <c r="AR297" s="65"/>
      <c r="AS297" s="65"/>
      <c r="AT297" s="65"/>
      <c r="AU297" s="65"/>
      <c r="AV297" s="65"/>
      <c r="AW297" s="65"/>
    </row>
    <row r="298" spans="1:49" s="48" customFormat="1" ht="12.75" customHeight="1" x14ac:dyDescent="0.25">
      <c r="A298" s="33" t="s">
        <v>48</v>
      </c>
      <c r="B298" s="51" t="s">
        <v>857</v>
      </c>
      <c r="C298" s="35" t="s">
        <v>858</v>
      </c>
      <c r="D298" s="104" t="s">
        <v>859</v>
      </c>
      <c r="E298" s="37" t="s">
        <v>54</v>
      </c>
      <c r="F298" s="38" t="s">
        <v>55</v>
      </c>
      <c r="G298" s="84"/>
      <c r="H298" s="40" t="s">
        <v>56</v>
      </c>
      <c r="I298" s="42"/>
      <c r="J298" s="39">
        <v>10</v>
      </c>
      <c r="K298" s="42">
        <v>140.10846774193547</v>
      </c>
      <c r="L298" s="42">
        <v>1401.0846774193546</v>
      </c>
      <c r="M298" s="50"/>
      <c r="N298" s="39"/>
      <c r="O298" s="39"/>
      <c r="P298" s="42">
        <v>0</v>
      </c>
      <c r="Q298" s="52"/>
      <c r="S298" s="39"/>
      <c r="T298" s="39"/>
      <c r="U298" s="39"/>
      <c r="V298" s="39"/>
      <c r="W298" s="39"/>
      <c r="X298" s="39"/>
      <c r="Y298" s="39"/>
      <c r="Z298" s="39"/>
      <c r="AA298" s="39"/>
      <c r="AB298" s="39"/>
      <c r="AC298" s="39"/>
      <c r="AD298" s="39"/>
      <c r="AE298" s="39"/>
      <c r="AF298" s="39"/>
      <c r="AG298" s="39"/>
      <c r="AH298" s="39"/>
      <c r="AI298" s="39"/>
      <c r="AJ298" s="39"/>
      <c r="AK298" s="39"/>
      <c r="AL298" s="39"/>
      <c r="AM298" s="39"/>
      <c r="AN298" s="39"/>
      <c r="AO298" s="39"/>
      <c r="AP298" s="39"/>
      <c r="AQ298" s="39"/>
      <c r="AR298" s="39"/>
      <c r="AS298" s="39"/>
      <c r="AT298" s="39"/>
      <c r="AU298" s="39"/>
      <c r="AV298" s="39"/>
      <c r="AW298" s="39"/>
    </row>
    <row r="299" spans="1:49" s="48" customFormat="1" ht="12.75" customHeight="1" x14ac:dyDescent="0.25">
      <c r="A299" s="33" t="s">
        <v>48</v>
      </c>
      <c r="B299" s="51"/>
      <c r="C299" s="35" t="s">
        <v>860</v>
      </c>
      <c r="D299" s="86" t="s">
        <v>861</v>
      </c>
      <c r="E299" s="38" t="s">
        <v>54</v>
      </c>
      <c r="F299" s="38" t="s">
        <v>55</v>
      </c>
      <c r="G299" s="84"/>
      <c r="H299" s="40" t="s">
        <v>56</v>
      </c>
      <c r="I299" s="42"/>
      <c r="J299" s="39"/>
      <c r="K299" s="42">
        <v>140.10846774193547</v>
      </c>
      <c r="L299" s="42">
        <v>0</v>
      </c>
      <c r="M299" s="50"/>
      <c r="N299" s="39"/>
      <c r="O299" s="39"/>
      <c r="P299" s="42">
        <v>0</v>
      </c>
      <c r="Q299" s="52"/>
      <c r="S299" s="39"/>
      <c r="T299" s="39"/>
      <c r="U299" s="39"/>
      <c r="V299" s="39"/>
      <c r="W299" s="39"/>
      <c r="X299" s="39"/>
      <c r="Y299" s="39"/>
      <c r="Z299" s="39"/>
      <c r="AA299" s="39"/>
      <c r="AB299" s="39"/>
      <c r="AC299" s="39"/>
      <c r="AD299" s="39"/>
      <c r="AE299" s="39"/>
      <c r="AF299" s="39"/>
      <c r="AG299" s="39"/>
      <c r="AH299" s="39"/>
      <c r="AI299" s="39"/>
      <c r="AJ299" s="39"/>
      <c r="AK299" s="39"/>
      <c r="AL299" s="39"/>
      <c r="AM299" s="39"/>
      <c r="AN299" s="39"/>
      <c r="AO299" s="39"/>
      <c r="AP299" s="39"/>
      <c r="AQ299" s="39"/>
      <c r="AR299" s="39"/>
      <c r="AS299" s="39"/>
      <c r="AT299" s="39"/>
      <c r="AU299" s="39"/>
      <c r="AV299" s="39"/>
      <c r="AW299" s="39"/>
    </row>
    <row r="300" spans="1:49" s="48" customFormat="1" ht="22.5" x14ac:dyDescent="0.25">
      <c r="A300" s="33" t="s">
        <v>48</v>
      </c>
      <c r="B300" s="51" t="s">
        <v>862</v>
      </c>
      <c r="C300" s="35" t="s">
        <v>863</v>
      </c>
      <c r="D300" s="104" t="s">
        <v>864</v>
      </c>
      <c r="E300" s="37" t="s">
        <v>54</v>
      </c>
      <c r="F300" s="38" t="s">
        <v>55</v>
      </c>
      <c r="G300" s="84"/>
      <c r="H300" s="40" t="s">
        <v>56</v>
      </c>
      <c r="I300" s="42"/>
      <c r="J300" s="39">
        <v>10</v>
      </c>
      <c r="K300" s="42">
        <v>140.10846774193547</v>
      </c>
      <c r="L300" s="42">
        <v>1401.0846774193546</v>
      </c>
      <c r="M300" s="50"/>
      <c r="N300" s="39"/>
      <c r="O300" s="39"/>
      <c r="P300" s="42">
        <v>0</v>
      </c>
      <c r="Q300" s="52"/>
      <c r="S300" s="39"/>
      <c r="T300" s="39"/>
      <c r="U300" s="39"/>
      <c r="V300" s="39"/>
      <c r="W300" s="39"/>
      <c r="X300" s="39"/>
      <c r="Y300" s="39"/>
      <c r="Z300" s="39"/>
      <c r="AA300" s="39"/>
      <c r="AB300" s="39"/>
      <c r="AC300" s="39"/>
      <c r="AD300" s="39"/>
      <c r="AE300" s="39"/>
      <c r="AF300" s="39"/>
      <c r="AG300" s="39"/>
      <c r="AH300" s="39"/>
      <c r="AI300" s="39"/>
      <c r="AJ300" s="39"/>
      <c r="AK300" s="39"/>
      <c r="AL300" s="39"/>
      <c r="AM300" s="39"/>
      <c r="AN300" s="39"/>
      <c r="AO300" s="39"/>
      <c r="AP300" s="39"/>
      <c r="AQ300" s="39"/>
      <c r="AR300" s="39"/>
      <c r="AS300" s="39"/>
      <c r="AT300" s="39"/>
      <c r="AU300" s="39"/>
      <c r="AV300" s="39"/>
      <c r="AW300" s="39"/>
    </row>
    <row r="301" spans="1:49" s="48" customFormat="1" ht="12.75" customHeight="1" x14ac:dyDescent="0.25">
      <c r="A301" s="33" t="s">
        <v>48</v>
      </c>
      <c r="B301" s="51" t="s">
        <v>865</v>
      </c>
      <c r="C301" s="35" t="s">
        <v>866</v>
      </c>
      <c r="D301" s="104" t="s">
        <v>867</v>
      </c>
      <c r="E301" s="37" t="s">
        <v>428</v>
      </c>
      <c r="F301" s="38" t="s">
        <v>55</v>
      </c>
      <c r="G301" s="84" t="s">
        <v>868</v>
      </c>
      <c r="H301" s="40" t="s">
        <v>56</v>
      </c>
      <c r="I301" s="42"/>
      <c r="J301" s="39">
        <v>65</v>
      </c>
      <c r="K301" s="42">
        <v>140.10846774193547</v>
      </c>
      <c r="L301" s="42">
        <v>9107.050403225805</v>
      </c>
      <c r="M301" s="50"/>
      <c r="N301" s="39"/>
      <c r="O301" s="39"/>
      <c r="P301" s="42">
        <v>0</v>
      </c>
      <c r="Q301" s="52"/>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row>
    <row r="302" spans="1:49" s="48" customFormat="1" ht="12.75" customHeight="1" x14ac:dyDescent="0.25">
      <c r="A302" s="33" t="s">
        <v>48</v>
      </c>
      <c r="B302" s="51"/>
      <c r="C302" s="35" t="s">
        <v>869</v>
      </c>
      <c r="D302" s="104" t="s">
        <v>870</v>
      </c>
      <c r="E302" s="37"/>
      <c r="F302" s="38" t="s">
        <v>578</v>
      </c>
      <c r="G302" s="84"/>
      <c r="H302" s="40" t="s">
        <v>56</v>
      </c>
      <c r="I302" s="42"/>
      <c r="J302" s="39"/>
      <c r="K302" s="39"/>
      <c r="L302" s="42">
        <v>0</v>
      </c>
      <c r="M302" s="50"/>
      <c r="N302" s="39"/>
      <c r="O302" s="39"/>
      <c r="P302" s="42">
        <v>0</v>
      </c>
      <c r="Q302" s="52"/>
      <c r="S302" s="39"/>
      <c r="T302" s="39"/>
      <c r="U302" s="39"/>
      <c r="V302" s="39"/>
      <c r="W302" s="39"/>
      <c r="X302" s="39"/>
      <c r="Y302" s="39"/>
      <c r="Z302" s="39"/>
      <c r="AA302" s="39"/>
      <c r="AB302" s="39"/>
      <c r="AC302" s="39"/>
      <c r="AD302" s="39"/>
      <c r="AE302" s="39"/>
      <c r="AF302" s="39"/>
      <c r="AG302" s="39"/>
      <c r="AH302" s="39"/>
      <c r="AI302" s="39"/>
      <c r="AJ302" s="39"/>
      <c r="AK302" s="39"/>
      <c r="AL302" s="39"/>
      <c r="AM302" s="39"/>
      <c r="AN302" s="39"/>
      <c r="AO302" s="39"/>
      <c r="AP302" s="39"/>
      <c r="AQ302" s="39"/>
      <c r="AR302" s="39"/>
      <c r="AS302" s="39"/>
      <c r="AT302" s="39"/>
      <c r="AU302" s="39"/>
      <c r="AV302" s="39"/>
      <c r="AW302" s="39"/>
    </row>
    <row r="303" spans="1:49" s="64" customFormat="1" ht="12.75" customHeight="1" x14ac:dyDescent="0.25">
      <c r="A303" s="14" t="s">
        <v>48</v>
      </c>
      <c r="B303" s="15">
        <v>28243985</v>
      </c>
      <c r="C303" s="56" t="s">
        <v>871</v>
      </c>
      <c r="D303" s="80" t="s">
        <v>872</v>
      </c>
      <c r="E303" s="18" t="s">
        <v>958</v>
      </c>
      <c r="F303" s="58"/>
      <c r="G303" s="87"/>
      <c r="H303" s="87"/>
      <c r="I303" s="42"/>
      <c r="J303" s="20">
        <f>SUM(J304:J306)</f>
        <v>38</v>
      </c>
      <c r="K303" s="20">
        <v>140.10846774193499</v>
      </c>
      <c r="L303" s="22">
        <f>SUM(L304:L306)</f>
        <v>5324.1217741935479</v>
      </c>
      <c r="M303" s="88"/>
      <c r="N303" s="65"/>
      <c r="O303" s="65"/>
      <c r="P303" s="62"/>
      <c r="R303" s="48"/>
      <c r="S303" s="65"/>
      <c r="T303" s="65"/>
      <c r="U303" s="65"/>
      <c r="V303" s="65"/>
      <c r="W303" s="65"/>
      <c r="X303" s="65"/>
      <c r="Y303" s="65"/>
      <c r="Z303" s="65"/>
      <c r="AA303" s="65"/>
      <c r="AB303" s="65"/>
      <c r="AC303" s="65"/>
      <c r="AD303" s="65"/>
      <c r="AE303" s="65"/>
      <c r="AF303" s="65"/>
      <c r="AG303" s="65"/>
      <c r="AH303" s="65"/>
      <c r="AI303" s="65"/>
      <c r="AJ303" s="65"/>
      <c r="AK303" s="65"/>
      <c r="AL303" s="65"/>
      <c r="AM303" s="65"/>
      <c r="AN303" s="65"/>
      <c r="AO303" s="65"/>
      <c r="AP303" s="65"/>
      <c r="AQ303" s="65"/>
      <c r="AR303" s="65"/>
      <c r="AS303" s="65"/>
      <c r="AT303" s="65"/>
      <c r="AU303" s="65"/>
      <c r="AV303" s="65"/>
      <c r="AW303" s="65"/>
    </row>
    <row r="304" spans="1:49" s="48" customFormat="1" ht="12.75" customHeight="1" x14ac:dyDescent="0.25">
      <c r="A304" s="33" t="s">
        <v>48</v>
      </c>
      <c r="B304" s="51" t="s">
        <v>873</v>
      </c>
      <c r="C304" s="35" t="s">
        <v>874</v>
      </c>
      <c r="D304" s="104" t="s">
        <v>875</v>
      </c>
      <c r="E304" s="37" t="s">
        <v>54</v>
      </c>
      <c r="F304" s="38" t="s">
        <v>55</v>
      </c>
      <c r="G304" s="84"/>
      <c r="H304" s="40" t="s">
        <v>56</v>
      </c>
      <c r="I304" s="42"/>
      <c r="J304" s="39">
        <v>18</v>
      </c>
      <c r="K304" s="42">
        <v>140.10846774193547</v>
      </c>
      <c r="L304" s="42">
        <v>2521.9524193548386</v>
      </c>
      <c r="M304" s="50"/>
      <c r="N304" s="39"/>
      <c r="O304" s="39"/>
      <c r="P304" s="42">
        <v>0</v>
      </c>
      <c r="Q304" s="52"/>
      <c r="S304" s="39"/>
      <c r="T304" s="39"/>
      <c r="U304" s="39"/>
      <c r="V304" s="39"/>
      <c r="W304" s="39"/>
      <c r="X304" s="39"/>
      <c r="Y304" s="39"/>
      <c r="Z304" s="39"/>
      <c r="AA304" s="39"/>
      <c r="AB304" s="39"/>
      <c r="AC304" s="39"/>
      <c r="AD304" s="39"/>
      <c r="AE304" s="39"/>
      <c r="AF304" s="39"/>
      <c r="AG304" s="39"/>
      <c r="AH304" s="39"/>
      <c r="AI304" s="39"/>
      <c r="AJ304" s="39"/>
      <c r="AK304" s="39"/>
      <c r="AL304" s="39"/>
      <c r="AM304" s="39"/>
      <c r="AN304" s="39"/>
      <c r="AO304" s="39"/>
      <c r="AP304" s="39"/>
      <c r="AQ304" s="39"/>
      <c r="AR304" s="39"/>
      <c r="AS304" s="39"/>
      <c r="AT304" s="39"/>
      <c r="AU304" s="39"/>
      <c r="AV304" s="39"/>
      <c r="AW304" s="39"/>
    </row>
    <row r="305" spans="1:49" s="48" customFormat="1" ht="12.75" customHeight="1" x14ac:dyDescent="0.25">
      <c r="A305" s="33" t="s">
        <v>48</v>
      </c>
      <c r="B305" s="51" t="s">
        <v>876</v>
      </c>
      <c r="C305" s="35" t="s">
        <v>877</v>
      </c>
      <c r="D305" s="117" t="s">
        <v>878</v>
      </c>
      <c r="E305" s="37" t="s">
        <v>54</v>
      </c>
      <c r="F305" s="38" t="s">
        <v>55</v>
      </c>
      <c r="G305" s="84"/>
      <c r="H305" s="40" t="s">
        <v>56</v>
      </c>
      <c r="I305" s="42"/>
      <c r="J305" s="39">
        <v>10</v>
      </c>
      <c r="K305" s="42">
        <v>140.10846774193547</v>
      </c>
      <c r="L305" s="42">
        <v>1401.0846774193546</v>
      </c>
      <c r="M305" s="50"/>
      <c r="N305" s="39"/>
      <c r="O305" s="39"/>
      <c r="P305" s="42">
        <v>0</v>
      </c>
      <c r="Q305" s="52"/>
      <c r="S305" s="39"/>
      <c r="T305" s="39"/>
      <c r="U305" s="39"/>
      <c r="V305" s="39"/>
      <c r="W305" s="39"/>
      <c r="X305" s="39"/>
      <c r="Y305" s="39"/>
      <c r="Z305" s="39"/>
      <c r="AA305" s="39"/>
      <c r="AB305" s="39"/>
      <c r="AC305" s="39"/>
      <c r="AD305" s="39"/>
      <c r="AE305" s="39"/>
      <c r="AF305" s="39"/>
      <c r="AG305" s="39"/>
      <c r="AH305" s="39"/>
      <c r="AI305" s="39"/>
      <c r="AJ305" s="39"/>
      <c r="AK305" s="39"/>
      <c r="AL305" s="39"/>
      <c r="AM305" s="39"/>
      <c r="AN305" s="39"/>
      <c r="AO305" s="39"/>
      <c r="AP305" s="39"/>
      <c r="AQ305" s="39"/>
      <c r="AR305" s="39"/>
      <c r="AS305" s="39"/>
      <c r="AT305" s="39"/>
      <c r="AU305" s="39"/>
      <c r="AV305" s="39"/>
      <c r="AW305" s="39"/>
    </row>
    <row r="306" spans="1:49" s="48" customFormat="1" ht="12.75" customHeight="1" x14ac:dyDescent="0.25">
      <c r="A306" s="33" t="s">
        <v>48</v>
      </c>
      <c r="B306" s="51" t="s">
        <v>879</v>
      </c>
      <c r="C306" s="35" t="s">
        <v>880</v>
      </c>
      <c r="D306" s="104" t="s">
        <v>881</v>
      </c>
      <c r="E306" s="37" t="s">
        <v>54</v>
      </c>
      <c r="F306" s="38" t="s">
        <v>55</v>
      </c>
      <c r="G306" s="84"/>
      <c r="H306" s="40" t="s">
        <v>56</v>
      </c>
      <c r="I306" s="42"/>
      <c r="J306" s="39">
        <v>10</v>
      </c>
      <c r="K306" s="42">
        <v>140.10846774193547</v>
      </c>
      <c r="L306" s="42">
        <v>1401.0846774193546</v>
      </c>
      <c r="M306" s="50"/>
      <c r="N306" s="39"/>
      <c r="O306" s="39"/>
      <c r="P306" s="42">
        <v>0</v>
      </c>
      <c r="Q306" s="52"/>
      <c r="S306" s="39"/>
      <c r="T306" s="39"/>
      <c r="U306" s="39"/>
      <c r="V306" s="39"/>
      <c r="W306" s="39"/>
      <c r="X306" s="39"/>
      <c r="Y306" s="39"/>
      <c r="Z306" s="39"/>
      <c r="AA306" s="39"/>
      <c r="AB306" s="39"/>
      <c r="AC306" s="39"/>
      <c r="AD306" s="39"/>
      <c r="AE306" s="39"/>
      <c r="AF306" s="39"/>
      <c r="AG306" s="39"/>
      <c r="AH306" s="39"/>
      <c r="AI306" s="39"/>
      <c r="AJ306" s="39"/>
      <c r="AK306" s="39"/>
      <c r="AL306" s="39"/>
      <c r="AM306" s="39"/>
      <c r="AN306" s="39"/>
      <c r="AO306" s="39"/>
      <c r="AP306" s="39"/>
      <c r="AQ306" s="39"/>
      <c r="AR306" s="39"/>
      <c r="AS306" s="39"/>
      <c r="AT306" s="39"/>
      <c r="AU306" s="39"/>
      <c r="AV306" s="39"/>
      <c r="AW306" s="39"/>
    </row>
    <row r="307" spans="1:49" s="64" customFormat="1" ht="12.75" customHeight="1" x14ac:dyDescent="0.25">
      <c r="A307" s="14" t="s">
        <v>48</v>
      </c>
      <c r="B307" s="15">
        <v>28243986</v>
      </c>
      <c r="C307" s="56" t="s">
        <v>882</v>
      </c>
      <c r="D307" s="80" t="s">
        <v>883</v>
      </c>
      <c r="E307" s="18" t="s">
        <v>958</v>
      </c>
      <c r="F307" s="58"/>
      <c r="G307" s="87"/>
      <c r="H307" s="87"/>
      <c r="I307" s="42"/>
      <c r="J307" s="20">
        <f>SUM(J308:J317)</f>
        <v>358.5</v>
      </c>
      <c r="K307" s="20">
        <v>140.10846774193499</v>
      </c>
      <c r="L307" s="22">
        <f>SUM(L308:L317)</f>
        <v>50228.885685483867</v>
      </c>
      <c r="M307" s="88"/>
      <c r="N307" s="65"/>
      <c r="O307" s="65"/>
      <c r="P307" s="62"/>
      <c r="R307" s="48"/>
      <c r="S307" s="65"/>
      <c r="T307" s="65"/>
      <c r="U307" s="65"/>
      <c r="V307" s="65"/>
      <c r="W307" s="65"/>
      <c r="X307" s="65"/>
      <c r="Y307" s="65"/>
      <c r="Z307" s="65"/>
      <c r="AA307" s="65"/>
      <c r="AB307" s="65"/>
      <c r="AC307" s="65"/>
      <c r="AD307" s="65"/>
      <c r="AE307" s="65"/>
      <c r="AF307" s="65"/>
      <c r="AG307" s="65"/>
      <c r="AH307" s="65"/>
      <c r="AI307" s="65"/>
      <c r="AJ307" s="65"/>
      <c r="AK307" s="65"/>
      <c r="AL307" s="65"/>
      <c r="AM307" s="65"/>
      <c r="AN307" s="65"/>
      <c r="AO307" s="65"/>
      <c r="AP307" s="65"/>
      <c r="AQ307" s="65"/>
      <c r="AR307" s="65"/>
      <c r="AS307" s="65"/>
      <c r="AT307" s="65"/>
      <c r="AU307" s="65"/>
      <c r="AV307" s="65"/>
      <c r="AW307" s="65"/>
    </row>
    <row r="308" spans="1:49" s="48" customFormat="1" ht="12.75" customHeight="1" x14ac:dyDescent="0.25">
      <c r="A308" s="33" t="s">
        <v>48</v>
      </c>
      <c r="B308" s="51" t="s">
        <v>884</v>
      </c>
      <c r="C308" s="35" t="s">
        <v>885</v>
      </c>
      <c r="D308" s="104" t="s">
        <v>886</v>
      </c>
      <c r="E308" s="37" t="s">
        <v>54</v>
      </c>
      <c r="F308" s="38" t="s">
        <v>55</v>
      </c>
      <c r="G308" s="84"/>
      <c r="H308" s="40" t="s">
        <v>56</v>
      </c>
      <c r="I308" s="42"/>
      <c r="J308" s="39">
        <v>25</v>
      </c>
      <c r="K308" s="42">
        <v>140.10846774193547</v>
      </c>
      <c r="L308" s="42">
        <v>3502.7116935483868</v>
      </c>
      <c r="M308" s="50"/>
      <c r="N308" s="39"/>
      <c r="O308" s="39"/>
      <c r="P308" s="42">
        <v>0</v>
      </c>
      <c r="Q308" s="52"/>
      <c r="S308" s="39"/>
      <c r="T308" s="39"/>
      <c r="U308" s="39"/>
      <c r="V308" s="39"/>
      <c r="W308" s="39"/>
      <c r="X308" s="39"/>
      <c r="Y308" s="39"/>
      <c r="Z308" s="39"/>
      <c r="AA308" s="39"/>
      <c r="AB308" s="39"/>
      <c r="AC308" s="39"/>
      <c r="AD308" s="39"/>
      <c r="AE308" s="39"/>
      <c r="AF308" s="39"/>
      <c r="AG308" s="39"/>
      <c r="AH308" s="39"/>
      <c r="AI308" s="39"/>
      <c r="AJ308" s="39"/>
      <c r="AK308" s="39"/>
      <c r="AL308" s="39"/>
      <c r="AM308" s="39"/>
      <c r="AN308" s="39"/>
      <c r="AO308" s="39"/>
      <c r="AP308" s="39"/>
      <c r="AQ308" s="39"/>
      <c r="AR308" s="39"/>
      <c r="AS308" s="39"/>
      <c r="AT308" s="39"/>
      <c r="AU308" s="39"/>
      <c r="AV308" s="39"/>
      <c r="AW308" s="39"/>
    </row>
    <row r="309" spans="1:49" s="48" customFormat="1" ht="12.75" customHeight="1" x14ac:dyDescent="0.25">
      <c r="A309" s="33" t="s">
        <v>48</v>
      </c>
      <c r="B309" s="51" t="s">
        <v>887</v>
      </c>
      <c r="C309" s="35" t="s">
        <v>888</v>
      </c>
      <c r="D309" s="104" t="s">
        <v>889</v>
      </c>
      <c r="E309" s="37" t="s">
        <v>54</v>
      </c>
      <c r="F309" s="38" t="s">
        <v>55</v>
      </c>
      <c r="G309" s="84"/>
      <c r="H309" s="40" t="s">
        <v>56</v>
      </c>
      <c r="I309" s="42"/>
      <c r="J309" s="39">
        <v>45</v>
      </c>
      <c r="K309" s="42">
        <v>140.10846774193547</v>
      </c>
      <c r="L309" s="42">
        <v>6304.8810483870966</v>
      </c>
      <c r="M309" s="50"/>
      <c r="N309" s="39"/>
      <c r="O309" s="39"/>
      <c r="P309" s="42">
        <v>0</v>
      </c>
      <c r="Q309" s="52"/>
      <c r="S309" s="39"/>
      <c r="T309" s="39"/>
      <c r="U309" s="39"/>
      <c r="V309" s="39"/>
      <c r="W309" s="39"/>
      <c r="X309" s="39"/>
      <c r="Y309" s="39"/>
      <c r="Z309" s="39"/>
      <c r="AA309" s="39"/>
      <c r="AB309" s="39"/>
      <c r="AC309" s="39"/>
      <c r="AD309" s="39"/>
      <c r="AE309" s="39"/>
      <c r="AF309" s="39"/>
      <c r="AG309" s="39"/>
      <c r="AH309" s="39"/>
      <c r="AI309" s="39"/>
      <c r="AJ309" s="39"/>
      <c r="AK309" s="39"/>
      <c r="AL309" s="39"/>
      <c r="AM309" s="39"/>
      <c r="AN309" s="39"/>
      <c r="AO309" s="39"/>
      <c r="AP309" s="39"/>
      <c r="AQ309" s="39"/>
      <c r="AR309" s="39"/>
      <c r="AS309" s="39"/>
      <c r="AT309" s="39"/>
      <c r="AU309" s="39"/>
      <c r="AV309" s="39"/>
      <c r="AW309" s="39"/>
    </row>
    <row r="310" spans="1:49" s="48" customFormat="1" ht="12.75" customHeight="1" x14ac:dyDescent="0.25">
      <c r="A310" s="33" t="s">
        <v>48</v>
      </c>
      <c r="B310" s="51" t="s">
        <v>890</v>
      </c>
      <c r="C310" s="35" t="s">
        <v>891</v>
      </c>
      <c r="D310" s="104" t="s">
        <v>892</v>
      </c>
      <c r="E310" s="37" t="s">
        <v>54</v>
      </c>
      <c r="F310" s="38" t="s">
        <v>55</v>
      </c>
      <c r="G310" s="84"/>
      <c r="H310" s="40" t="s">
        <v>56</v>
      </c>
      <c r="I310" s="42"/>
      <c r="J310" s="39">
        <v>35</v>
      </c>
      <c r="K310" s="42">
        <v>140.10846774193547</v>
      </c>
      <c r="L310" s="42">
        <v>4903.7963709677415</v>
      </c>
      <c r="M310" s="50"/>
      <c r="N310" s="39"/>
      <c r="O310" s="39"/>
      <c r="P310" s="42">
        <v>0</v>
      </c>
      <c r="Q310" s="52"/>
      <c r="S310" s="39"/>
      <c r="T310" s="39"/>
      <c r="U310" s="39"/>
      <c r="V310" s="39"/>
      <c r="W310" s="39"/>
      <c r="X310" s="39"/>
      <c r="Y310" s="39"/>
      <c r="Z310" s="39"/>
      <c r="AA310" s="39"/>
      <c r="AB310" s="39"/>
      <c r="AC310" s="39"/>
      <c r="AD310" s="39"/>
      <c r="AE310" s="39"/>
      <c r="AF310" s="39"/>
      <c r="AG310" s="39"/>
      <c r="AH310" s="39"/>
      <c r="AI310" s="39"/>
      <c r="AJ310" s="39"/>
      <c r="AK310" s="39"/>
      <c r="AL310" s="39"/>
      <c r="AM310" s="39"/>
      <c r="AN310" s="39"/>
      <c r="AO310" s="39"/>
      <c r="AP310" s="39"/>
      <c r="AQ310" s="39"/>
      <c r="AR310" s="39"/>
      <c r="AS310" s="39"/>
      <c r="AT310" s="39"/>
      <c r="AU310" s="39"/>
      <c r="AV310" s="39"/>
      <c r="AW310" s="39"/>
    </row>
    <row r="311" spans="1:49" s="48" customFormat="1" ht="12.75" customHeight="1" x14ac:dyDescent="0.25">
      <c r="A311" s="33" t="s">
        <v>48</v>
      </c>
      <c r="B311" s="51" t="s">
        <v>893</v>
      </c>
      <c r="C311" s="35" t="s">
        <v>894</v>
      </c>
      <c r="D311" s="104" t="s">
        <v>895</v>
      </c>
      <c r="E311" s="37" t="s">
        <v>54</v>
      </c>
      <c r="F311" s="38" t="s">
        <v>55</v>
      </c>
      <c r="G311" s="84"/>
      <c r="H311" s="40" t="s">
        <v>56</v>
      </c>
      <c r="I311" s="42"/>
      <c r="J311" s="39">
        <v>40</v>
      </c>
      <c r="K311" s="42">
        <v>140.10846774193547</v>
      </c>
      <c r="L311" s="42">
        <v>5604.3387096774186</v>
      </c>
      <c r="M311" s="50"/>
      <c r="N311" s="39"/>
      <c r="O311" s="39"/>
      <c r="P311" s="42">
        <v>0</v>
      </c>
      <c r="Q311" s="52"/>
      <c r="S311" s="39"/>
      <c r="T311" s="39"/>
      <c r="U311" s="39"/>
      <c r="V311" s="39"/>
      <c r="W311" s="39"/>
      <c r="X311" s="39"/>
      <c r="Y311" s="39"/>
      <c r="Z311" s="39"/>
      <c r="AA311" s="39"/>
      <c r="AB311" s="39"/>
      <c r="AC311" s="39"/>
      <c r="AD311" s="39"/>
      <c r="AE311" s="39"/>
      <c r="AF311" s="39"/>
      <c r="AG311" s="39"/>
      <c r="AH311" s="39"/>
      <c r="AI311" s="39"/>
      <c r="AJ311" s="39"/>
      <c r="AK311" s="39"/>
      <c r="AL311" s="39"/>
      <c r="AM311" s="39"/>
      <c r="AN311" s="39"/>
      <c r="AO311" s="39"/>
      <c r="AP311" s="39"/>
      <c r="AQ311" s="39"/>
      <c r="AR311" s="39"/>
      <c r="AS311" s="39"/>
      <c r="AT311" s="39"/>
      <c r="AU311" s="39"/>
      <c r="AV311" s="39"/>
      <c r="AW311" s="39"/>
    </row>
    <row r="312" spans="1:49" s="48" customFormat="1" ht="12.75" customHeight="1" x14ac:dyDescent="0.25">
      <c r="A312" s="33" t="s">
        <v>48</v>
      </c>
      <c r="B312" s="51" t="s">
        <v>896</v>
      </c>
      <c r="C312" s="35" t="s">
        <v>897</v>
      </c>
      <c r="D312" s="104" t="s">
        <v>898</v>
      </c>
      <c r="E312" s="37" t="s">
        <v>54</v>
      </c>
      <c r="F312" s="38" t="s">
        <v>55</v>
      </c>
      <c r="G312" s="84"/>
      <c r="H312" s="40" t="s">
        <v>56</v>
      </c>
      <c r="I312" s="42"/>
      <c r="J312" s="39">
        <v>40</v>
      </c>
      <c r="K312" s="42">
        <v>140.10846774193547</v>
      </c>
      <c r="L312" s="42">
        <v>5604.3387096774186</v>
      </c>
      <c r="M312" s="50"/>
      <c r="N312" s="39"/>
      <c r="O312" s="39"/>
      <c r="P312" s="42">
        <v>0</v>
      </c>
      <c r="Q312" s="52"/>
      <c r="S312" s="39"/>
      <c r="T312" s="39"/>
      <c r="U312" s="39"/>
      <c r="V312" s="39"/>
      <c r="W312" s="39"/>
      <c r="X312" s="39"/>
      <c r="Y312" s="39"/>
      <c r="Z312" s="39"/>
      <c r="AA312" s="39"/>
      <c r="AB312" s="39"/>
      <c r="AC312" s="39"/>
      <c r="AD312" s="39"/>
      <c r="AE312" s="39"/>
      <c r="AF312" s="39"/>
      <c r="AG312" s="39"/>
      <c r="AH312" s="39"/>
      <c r="AI312" s="39"/>
      <c r="AJ312" s="39"/>
      <c r="AK312" s="39"/>
      <c r="AL312" s="39"/>
      <c r="AM312" s="39"/>
      <c r="AN312" s="39"/>
      <c r="AO312" s="39"/>
      <c r="AP312" s="39"/>
      <c r="AQ312" s="39"/>
      <c r="AR312" s="39"/>
      <c r="AS312" s="39"/>
      <c r="AT312" s="39"/>
      <c r="AU312" s="39"/>
      <c r="AV312" s="39"/>
      <c r="AW312" s="39"/>
    </row>
    <row r="313" spans="1:49" s="48" customFormat="1" ht="12.75" customHeight="1" x14ac:dyDescent="0.25">
      <c r="A313" s="33" t="s">
        <v>48</v>
      </c>
      <c r="B313" s="51" t="s">
        <v>899</v>
      </c>
      <c r="C313" s="35" t="s">
        <v>900</v>
      </c>
      <c r="D313" s="104" t="s">
        <v>901</v>
      </c>
      <c r="E313" s="37" t="s">
        <v>54</v>
      </c>
      <c r="F313" s="38" t="s">
        <v>55</v>
      </c>
      <c r="G313" s="84"/>
      <c r="H313" s="84" t="s">
        <v>902</v>
      </c>
      <c r="I313" s="42"/>
      <c r="J313" s="39">
        <v>60</v>
      </c>
      <c r="K313" s="42">
        <v>140.10846774193547</v>
      </c>
      <c r="L313" s="42">
        <v>8406.5080645161288</v>
      </c>
      <c r="M313" s="50"/>
      <c r="N313" s="39"/>
      <c r="O313" s="39"/>
      <c r="P313" s="42">
        <v>0</v>
      </c>
      <c r="Q313" s="52"/>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row>
    <row r="314" spans="1:49" s="48" customFormat="1" ht="12.75" customHeight="1" x14ac:dyDescent="0.25">
      <c r="A314" s="33" t="s">
        <v>48</v>
      </c>
      <c r="B314" s="51" t="s">
        <v>903</v>
      </c>
      <c r="C314" s="35" t="s">
        <v>904</v>
      </c>
      <c r="D314" s="104" t="s">
        <v>905</v>
      </c>
      <c r="E314" s="37" t="s">
        <v>54</v>
      </c>
      <c r="F314" s="38" t="s">
        <v>55</v>
      </c>
      <c r="G314" s="84"/>
      <c r="H314" s="40" t="s">
        <v>56</v>
      </c>
      <c r="I314" s="42"/>
      <c r="J314" s="39">
        <v>50</v>
      </c>
      <c r="K314" s="42">
        <v>140.10846774193547</v>
      </c>
      <c r="L314" s="42">
        <v>7005.4233870967737</v>
      </c>
      <c r="M314" s="50"/>
      <c r="N314" s="39"/>
      <c r="O314" s="39"/>
      <c r="P314" s="42">
        <v>0</v>
      </c>
      <c r="Q314" s="52"/>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row>
    <row r="315" spans="1:49" s="48" customFormat="1" ht="12.75" customHeight="1" x14ac:dyDescent="0.25">
      <c r="A315" s="33" t="s">
        <v>48</v>
      </c>
      <c r="B315" s="51"/>
      <c r="C315" s="35" t="s">
        <v>906</v>
      </c>
      <c r="D315" s="104" t="s">
        <v>907</v>
      </c>
      <c r="E315" s="37" t="s">
        <v>54</v>
      </c>
      <c r="F315" s="38" t="s">
        <v>578</v>
      </c>
      <c r="G315" s="84"/>
      <c r="H315" s="40" t="s">
        <v>56</v>
      </c>
      <c r="I315" s="42"/>
      <c r="J315" s="39"/>
      <c r="K315" s="42"/>
      <c r="L315" s="42">
        <v>0</v>
      </c>
      <c r="M315" s="50"/>
      <c r="N315" s="39"/>
      <c r="O315" s="39"/>
      <c r="P315" s="42">
        <v>0</v>
      </c>
      <c r="Q315" s="52"/>
      <c r="S315" s="39"/>
      <c r="T315" s="39"/>
      <c r="U315" s="39"/>
      <c r="V315" s="39"/>
      <c r="W315" s="39"/>
      <c r="X315" s="39"/>
      <c r="Y315" s="39"/>
      <c r="Z315" s="39"/>
      <c r="AA315" s="39"/>
      <c r="AB315" s="39"/>
      <c r="AC315" s="39"/>
      <c r="AD315" s="39"/>
      <c r="AE315" s="39"/>
      <c r="AF315" s="39"/>
      <c r="AG315" s="39"/>
      <c r="AH315" s="39"/>
      <c r="AI315" s="39"/>
      <c r="AJ315" s="39"/>
      <c r="AK315" s="39"/>
      <c r="AL315" s="39"/>
      <c r="AM315" s="39"/>
      <c r="AN315" s="39"/>
      <c r="AO315" s="39"/>
      <c r="AP315" s="39"/>
      <c r="AQ315" s="39"/>
      <c r="AR315" s="39"/>
      <c r="AS315" s="39"/>
      <c r="AT315" s="39"/>
      <c r="AU315" s="39"/>
      <c r="AV315" s="39"/>
      <c r="AW315" s="39"/>
    </row>
    <row r="316" spans="1:49" s="48" customFormat="1" ht="12.75" customHeight="1" x14ac:dyDescent="0.25">
      <c r="A316" s="33" t="s">
        <v>48</v>
      </c>
      <c r="B316" s="51" t="s">
        <v>908</v>
      </c>
      <c r="C316" s="35" t="s">
        <v>909</v>
      </c>
      <c r="D316" s="104" t="s">
        <v>910</v>
      </c>
      <c r="E316" s="37" t="s">
        <v>54</v>
      </c>
      <c r="F316" s="38" t="s">
        <v>55</v>
      </c>
      <c r="G316" s="84"/>
      <c r="H316" s="40" t="s">
        <v>56</v>
      </c>
      <c r="I316" s="42"/>
      <c r="J316" s="39">
        <v>63.5</v>
      </c>
      <c r="K316" s="42">
        <v>140.10846774193547</v>
      </c>
      <c r="L316" s="42">
        <v>8896.8877016129027</v>
      </c>
      <c r="M316" s="50"/>
      <c r="N316" s="39"/>
      <c r="O316" s="39"/>
      <c r="P316" s="42">
        <v>0</v>
      </c>
      <c r="Q316" s="52"/>
      <c r="S316" s="39"/>
      <c r="T316" s="39"/>
      <c r="U316" s="39"/>
      <c r="V316" s="39"/>
      <c r="W316" s="39"/>
      <c r="X316" s="39"/>
      <c r="Y316" s="39"/>
      <c r="Z316" s="39"/>
      <c r="AA316" s="39"/>
      <c r="AB316" s="39"/>
      <c r="AC316" s="39"/>
      <c r="AD316" s="39"/>
      <c r="AE316" s="39"/>
      <c r="AF316" s="39"/>
      <c r="AG316" s="39"/>
      <c r="AH316" s="39"/>
      <c r="AI316" s="39"/>
      <c r="AJ316" s="39"/>
      <c r="AK316" s="39"/>
      <c r="AL316" s="39"/>
      <c r="AM316" s="39"/>
      <c r="AN316" s="39"/>
      <c r="AO316" s="39"/>
      <c r="AP316" s="39"/>
      <c r="AQ316" s="39"/>
      <c r="AR316" s="39"/>
      <c r="AS316" s="39"/>
      <c r="AT316" s="39"/>
      <c r="AU316" s="39"/>
      <c r="AV316" s="39"/>
      <c r="AW316" s="39"/>
    </row>
    <row r="317" spans="1:49" s="48" customFormat="1" ht="12.75" customHeight="1" x14ac:dyDescent="0.25">
      <c r="A317" s="33" t="s">
        <v>48</v>
      </c>
      <c r="B317" s="51"/>
      <c r="C317" s="35" t="s">
        <v>911</v>
      </c>
      <c r="D317" s="104" t="s">
        <v>912</v>
      </c>
      <c r="E317" s="37" t="s">
        <v>54</v>
      </c>
      <c r="F317" s="38" t="s">
        <v>578</v>
      </c>
      <c r="G317" s="84"/>
      <c r="H317" s="40" t="s">
        <v>56</v>
      </c>
      <c r="I317" s="42"/>
      <c r="J317" s="39"/>
      <c r="K317" s="42"/>
      <c r="L317" s="42">
        <v>0</v>
      </c>
      <c r="M317" s="50"/>
      <c r="N317" s="39"/>
      <c r="O317" s="39"/>
      <c r="P317" s="42">
        <v>0</v>
      </c>
      <c r="Q317" s="52"/>
      <c r="S317" s="39"/>
      <c r="T317" s="39"/>
      <c r="U317" s="39"/>
      <c r="V317" s="39"/>
      <c r="W317" s="39"/>
      <c r="X317" s="39"/>
      <c r="Y317" s="39"/>
      <c r="Z317" s="39"/>
      <c r="AA317" s="39"/>
      <c r="AB317" s="39"/>
      <c r="AC317" s="39"/>
      <c r="AD317" s="39"/>
      <c r="AE317" s="39"/>
      <c r="AF317" s="39"/>
      <c r="AG317" s="39"/>
      <c r="AH317" s="39"/>
      <c r="AI317" s="39"/>
      <c r="AJ317" s="39"/>
      <c r="AK317" s="39"/>
      <c r="AL317" s="39"/>
      <c r="AM317" s="39"/>
      <c r="AN317" s="39"/>
      <c r="AO317" s="39"/>
      <c r="AP317" s="39"/>
      <c r="AQ317" s="39"/>
      <c r="AR317" s="39"/>
      <c r="AS317" s="39"/>
      <c r="AT317" s="39"/>
      <c r="AU317" s="39"/>
      <c r="AV317" s="39"/>
      <c r="AW317" s="39"/>
    </row>
    <row r="318" spans="1:49" s="64" customFormat="1" ht="12.75" customHeight="1" x14ac:dyDescent="0.25">
      <c r="A318" s="14" t="s">
        <v>48</v>
      </c>
      <c r="B318" s="15">
        <v>28243986</v>
      </c>
      <c r="C318" s="56" t="s">
        <v>913</v>
      </c>
      <c r="D318" s="80" t="s">
        <v>914</v>
      </c>
      <c r="E318" s="18" t="s">
        <v>958</v>
      </c>
      <c r="F318" s="58"/>
      <c r="G318" s="87"/>
      <c r="H318" s="87"/>
      <c r="I318" s="42"/>
      <c r="J318" s="20">
        <f>SUM(J319:J333)</f>
        <v>370</v>
      </c>
      <c r="K318" s="20">
        <v>140.10846774193499</v>
      </c>
      <c r="L318" s="22">
        <f>SUM(L319:L333)</f>
        <v>51840.133064516122</v>
      </c>
      <c r="M318" s="88"/>
      <c r="N318" s="65"/>
      <c r="O318" s="65"/>
      <c r="P318" s="62"/>
      <c r="R318" s="48"/>
      <c r="S318" s="65"/>
      <c r="T318" s="65"/>
      <c r="U318" s="65"/>
      <c r="V318" s="65"/>
      <c r="W318" s="65"/>
      <c r="X318" s="65"/>
      <c r="Y318" s="65"/>
      <c r="Z318" s="65"/>
      <c r="AA318" s="65"/>
      <c r="AB318" s="65"/>
      <c r="AC318" s="65"/>
      <c r="AD318" s="65"/>
      <c r="AE318" s="65"/>
      <c r="AF318" s="65"/>
      <c r="AG318" s="65"/>
      <c r="AH318" s="65"/>
      <c r="AI318" s="65"/>
      <c r="AJ318" s="65"/>
      <c r="AK318" s="65"/>
      <c r="AL318" s="65"/>
      <c r="AM318" s="65"/>
      <c r="AN318" s="65"/>
      <c r="AO318" s="65"/>
      <c r="AP318" s="65"/>
      <c r="AQ318" s="65"/>
      <c r="AR318" s="65"/>
      <c r="AS318" s="65"/>
      <c r="AT318" s="65"/>
      <c r="AU318" s="65"/>
      <c r="AV318" s="65"/>
      <c r="AW318" s="65"/>
    </row>
    <row r="319" spans="1:49" s="48" customFormat="1" ht="12.75" customHeight="1" x14ac:dyDescent="0.25">
      <c r="A319" s="33" t="s">
        <v>48</v>
      </c>
      <c r="B319" s="51"/>
      <c r="C319" s="35" t="s">
        <v>915</v>
      </c>
      <c r="D319" s="102" t="s">
        <v>916</v>
      </c>
      <c r="E319" s="37" t="s">
        <v>54</v>
      </c>
      <c r="F319" s="38" t="s">
        <v>399</v>
      </c>
      <c r="G319" s="84"/>
      <c r="H319" s="40" t="s">
        <v>56</v>
      </c>
      <c r="I319" s="42"/>
      <c r="J319" s="39"/>
      <c r="K319" s="42"/>
      <c r="L319" s="42">
        <v>0</v>
      </c>
      <c r="M319" s="50"/>
      <c r="N319" s="39"/>
      <c r="O319" s="39"/>
      <c r="P319" s="42">
        <v>0</v>
      </c>
      <c r="Q319" s="52"/>
      <c r="S319" s="39"/>
      <c r="T319" s="39"/>
      <c r="U319" s="39"/>
      <c r="V319" s="39"/>
      <c r="W319" s="39"/>
      <c r="X319" s="39"/>
      <c r="Y319" s="39"/>
      <c r="Z319" s="39"/>
      <c r="AA319" s="39"/>
      <c r="AB319" s="39"/>
      <c r="AC319" s="39"/>
      <c r="AD319" s="39"/>
      <c r="AE319" s="39"/>
      <c r="AF319" s="39"/>
      <c r="AG319" s="39"/>
      <c r="AH319" s="39"/>
      <c r="AI319" s="39"/>
      <c r="AJ319" s="39"/>
      <c r="AK319" s="39"/>
      <c r="AL319" s="39"/>
      <c r="AM319" s="39"/>
      <c r="AN319" s="39"/>
      <c r="AO319" s="39"/>
      <c r="AP319" s="39"/>
      <c r="AQ319" s="39"/>
      <c r="AR319" s="39"/>
      <c r="AS319" s="39"/>
      <c r="AT319" s="39"/>
      <c r="AU319" s="39"/>
      <c r="AV319" s="39"/>
      <c r="AW319" s="39"/>
    </row>
    <row r="320" spans="1:49" s="48" customFormat="1" ht="12.75" customHeight="1" x14ac:dyDescent="0.25">
      <c r="A320" s="33" t="s">
        <v>48</v>
      </c>
      <c r="B320" s="51" t="s">
        <v>917</v>
      </c>
      <c r="C320" s="35" t="s">
        <v>918</v>
      </c>
      <c r="D320" s="53" t="s">
        <v>712</v>
      </c>
      <c r="E320" s="37" t="s">
        <v>54</v>
      </c>
      <c r="F320" s="38" t="s">
        <v>55</v>
      </c>
      <c r="G320" s="84"/>
      <c r="H320" s="40" t="s">
        <v>56</v>
      </c>
      <c r="I320" s="42"/>
      <c r="J320" s="39"/>
      <c r="K320" s="42">
        <v>140.10846774193547</v>
      </c>
      <c r="L320" s="42">
        <v>0</v>
      </c>
      <c r="M320" s="50"/>
      <c r="N320" s="39"/>
      <c r="O320" s="39"/>
      <c r="P320" s="42">
        <v>0</v>
      </c>
      <c r="Q320" s="52"/>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row>
    <row r="321" spans="1:49" s="48" customFormat="1" ht="12.75" customHeight="1" x14ac:dyDescent="0.25">
      <c r="A321" s="33" t="s">
        <v>48</v>
      </c>
      <c r="B321" s="51" t="s">
        <v>919</v>
      </c>
      <c r="C321" s="35" t="s">
        <v>920</v>
      </c>
      <c r="D321" s="102" t="s">
        <v>921</v>
      </c>
      <c r="E321" s="37" t="s">
        <v>54</v>
      </c>
      <c r="F321" s="38" t="s">
        <v>55</v>
      </c>
      <c r="G321" s="84"/>
      <c r="H321" s="40" t="s">
        <v>56</v>
      </c>
      <c r="I321" s="42"/>
      <c r="J321" s="39">
        <v>40</v>
      </c>
      <c r="K321" s="42">
        <v>140.10846774193547</v>
      </c>
      <c r="L321" s="42">
        <v>5604.3387096774186</v>
      </c>
      <c r="M321" s="50"/>
      <c r="N321" s="39"/>
      <c r="O321" s="39"/>
      <c r="P321" s="42">
        <v>0</v>
      </c>
      <c r="Q321" s="52"/>
      <c r="S321" s="39"/>
      <c r="T321" s="39"/>
      <c r="U321" s="39"/>
      <c r="V321" s="39"/>
      <c r="W321" s="39"/>
      <c r="X321" s="39"/>
      <c r="Y321" s="39"/>
      <c r="Z321" s="39"/>
      <c r="AA321" s="39"/>
      <c r="AB321" s="39"/>
      <c r="AC321" s="39"/>
      <c r="AD321" s="39"/>
      <c r="AE321" s="39"/>
      <c r="AF321" s="39"/>
      <c r="AG321" s="39"/>
      <c r="AH321" s="39"/>
      <c r="AI321" s="39"/>
      <c r="AJ321" s="39"/>
      <c r="AK321" s="39"/>
      <c r="AL321" s="39"/>
      <c r="AM321" s="39"/>
      <c r="AN321" s="39"/>
      <c r="AO321" s="39"/>
      <c r="AP321" s="39"/>
      <c r="AQ321" s="39"/>
      <c r="AR321" s="39"/>
      <c r="AS321" s="39"/>
      <c r="AT321" s="39"/>
      <c r="AU321" s="39"/>
      <c r="AV321" s="39"/>
      <c r="AW321" s="39"/>
    </row>
    <row r="322" spans="1:49" s="48" customFormat="1" ht="12.75" customHeight="1" x14ac:dyDescent="0.25">
      <c r="A322" s="33" t="s">
        <v>48</v>
      </c>
      <c r="B322" s="51" t="s">
        <v>922</v>
      </c>
      <c r="C322" s="35" t="s">
        <v>923</v>
      </c>
      <c r="D322" s="102" t="s">
        <v>924</v>
      </c>
      <c r="E322" s="37" t="s">
        <v>54</v>
      </c>
      <c r="F322" s="38" t="s">
        <v>55</v>
      </c>
      <c r="G322" s="84"/>
      <c r="H322" s="40" t="s">
        <v>56</v>
      </c>
      <c r="I322" s="42"/>
      <c r="J322" s="39">
        <v>40</v>
      </c>
      <c r="K322" s="42">
        <v>140.10846774193547</v>
      </c>
      <c r="L322" s="42">
        <v>5604.3387096774186</v>
      </c>
      <c r="M322" s="50"/>
      <c r="N322" s="39"/>
      <c r="O322" s="39"/>
      <c r="P322" s="42">
        <v>0</v>
      </c>
      <c r="Q322" s="52"/>
      <c r="S322" s="39"/>
      <c r="T322" s="39"/>
      <c r="U322" s="39"/>
      <c r="V322" s="39"/>
      <c r="W322" s="39"/>
      <c r="X322" s="39"/>
      <c r="Y322" s="39"/>
      <c r="Z322" s="39"/>
      <c r="AA322" s="39"/>
      <c r="AB322" s="39"/>
      <c r="AC322" s="39"/>
      <c r="AD322" s="39"/>
      <c r="AE322" s="39"/>
      <c r="AF322" s="39"/>
      <c r="AG322" s="39"/>
      <c r="AH322" s="39"/>
      <c r="AI322" s="39"/>
      <c r="AJ322" s="39"/>
      <c r="AK322" s="39"/>
      <c r="AL322" s="39"/>
      <c r="AM322" s="39"/>
      <c r="AN322" s="39"/>
      <c r="AO322" s="39"/>
      <c r="AP322" s="39"/>
      <c r="AQ322" s="39"/>
      <c r="AR322" s="39"/>
      <c r="AS322" s="39"/>
      <c r="AT322" s="39"/>
      <c r="AU322" s="39"/>
      <c r="AV322" s="39"/>
      <c r="AW322" s="39"/>
    </row>
    <row r="323" spans="1:49" s="48" customFormat="1" ht="12.75" customHeight="1" x14ac:dyDescent="0.25">
      <c r="A323" s="33" t="s">
        <v>48</v>
      </c>
      <c r="B323" s="51" t="s">
        <v>925</v>
      </c>
      <c r="C323" s="35" t="s">
        <v>926</v>
      </c>
      <c r="D323" s="102" t="s">
        <v>927</v>
      </c>
      <c r="E323" s="37" t="s">
        <v>54</v>
      </c>
      <c r="F323" s="38" t="s">
        <v>55</v>
      </c>
      <c r="G323" s="84"/>
      <c r="H323" s="40" t="s">
        <v>56</v>
      </c>
      <c r="I323" s="42"/>
      <c r="J323" s="39">
        <v>20</v>
      </c>
      <c r="K323" s="42">
        <v>140.10846774193547</v>
      </c>
      <c r="L323" s="42">
        <v>2802.1693548387093</v>
      </c>
      <c r="M323" s="50"/>
      <c r="N323" s="39"/>
      <c r="O323" s="39"/>
      <c r="P323" s="42">
        <v>0</v>
      </c>
      <c r="Q323" s="52"/>
      <c r="S323" s="39"/>
      <c r="T323" s="39"/>
      <c r="U323" s="39"/>
      <c r="V323" s="39"/>
      <c r="W323" s="39"/>
      <c r="X323" s="39"/>
      <c r="Y323" s="39"/>
      <c r="Z323" s="39"/>
      <c r="AA323" s="39"/>
      <c r="AB323" s="39"/>
      <c r="AC323" s="39"/>
      <c r="AD323" s="39"/>
      <c r="AE323" s="39"/>
      <c r="AF323" s="39"/>
      <c r="AG323" s="39"/>
      <c r="AH323" s="39"/>
      <c r="AI323" s="39"/>
      <c r="AJ323" s="39"/>
      <c r="AK323" s="39"/>
      <c r="AL323" s="39"/>
      <c r="AM323" s="39"/>
      <c r="AN323" s="39"/>
      <c r="AO323" s="39"/>
      <c r="AP323" s="39"/>
      <c r="AQ323" s="39"/>
      <c r="AR323" s="39"/>
      <c r="AS323" s="39"/>
      <c r="AT323" s="39"/>
      <c r="AU323" s="39"/>
      <c r="AV323" s="39"/>
      <c r="AW323" s="39"/>
    </row>
    <row r="324" spans="1:49" s="48" customFormat="1" ht="12.75" customHeight="1" x14ac:dyDescent="0.25">
      <c r="A324" s="33" t="s">
        <v>48</v>
      </c>
      <c r="B324" s="51" t="s">
        <v>928</v>
      </c>
      <c r="C324" s="35" t="s">
        <v>929</v>
      </c>
      <c r="D324" s="118" t="s">
        <v>930</v>
      </c>
      <c r="E324" s="37" t="s">
        <v>54</v>
      </c>
      <c r="F324" s="38" t="s">
        <v>55</v>
      </c>
      <c r="G324" s="84"/>
      <c r="H324" s="40" t="s">
        <v>56</v>
      </c>
      <c r="I324" s="42"/>
      <c r="J324" s="39">
        <v>20</v>
      </c>
      <c r="K324" s="42">
        <v>140.10846774193547</v>
      </c>
      <c r="L324" s="42">
        <v>2802.1693548387093</v>
      </c>
      <c r="M324" s="50"/>
      <c r="N324" s="39"/>
      <c r="O324" s="39"/>
      <c r="P324" s="42">
        <v>0</v>
      </c>
      <c r="Q324" s="52"/>
      <c r="S324" s="39"/>
      <c r="T324" s="39"/>
      <c r="U324" s="39"/>
      <c r="V324" s="39"/>
      <c r="W324" s="39"/>
      <c r="X324" s="39"/>
      <c r="Y324" s="39"/>
      <c r="Z324" s="39"/>
      <c r="AA324" s="39"/>
      <c r="AB324" s="39"/>
      <c r="AC324" s="39"/>
      <c r="AD324" s="39"/>
      <c r="AE324" s="39"/>
      <c r="AF324" s="39"/>
      <c r="AG324" s="39"/>
      <c r="AH324" s="39"/>
      <c r="AI324" s="39"/>
      <c r="AJ324" s="39"/>
      <c r="AK324" s="39"/>
      <c r="AL324" s="39"/>
      <c r="AM324" s="39"/>
      <c r="AN324" s="39"/>
      <c r="AO324" s="39"/>
      <c r="AP324" s="39"/>
      <c r="AQ324" s="39"/>
      <c r="AR324" s="39"/>
      <c r="AS324" s="39"/>
      <c r="AT324" s="39"/>
      <c r="AU324" s="39"/>
      <c r="AV324" s="39"/>
      <c r="AW324" s="39"/>
    </row>
    <row r="325" spans="1:49" s="48" customFormat="1" ht="12.75" customHeight="1" x14ac:dyDescent="0.25">
      <c r="A325" s="33" t="s">
        <v>48</v>
      </c>
      <c r="B325" s="51" t="s">
        <v>931</v>
      </c>
      <c r="C325" s="35" t="s">
        <v>932</v>
      </c>
      <c r="D325" s="102" t="s">
        <v>933</v>
      </c>
      <c r="E325" s="37" t="s">
        <v>54</v>
      </c>
      <c r="F325" s="38" t="s">
        <v>55</v>
      </c>
      <c r="G325" s="84"/>
      <c r="H325" s="40" t="s">
        <v>56</v>
      </c>
      <c r="I325" s="42"/>
      <c r="J325" s="39">
        <v>80</v>
      </c>
      <c r="K325" s="42">
        <v>140.10846774193547</v>
      </c>
      <c r="L325" s="42">
        <v>11208.677419354837</v>
      </c>
      <c r="M325" s="50"/>
      <c r="N325" s="39"/>
      <c r="O325" s="39"/>
      <c r="P325" s="42">
        <v>0</v>
      </c>
      <c r="Q325" s="52"/>
      <c r="S325" s="39"/>
      <c r="T325" s="39"/>
      <c r="U325" s="39"/>
      <c r="V325" s="39"/>
      <c r="W325" s="39"/>
      <c r="X325" s="39"/>
      <c r="Y325" s="39"/>
      <c r="Z325" s="39"/>
      <c r="AA325" s="39"/>
      <c r="AB325" s="39"/>
      <c r="AC325" s="39"/>
      <c r="AD325" s="39"/>
      <c r="AE325" s="39"/>
      <c r="AF325" s="39"/>
      <c r="AG325" s="39"/>
      <c r="AH325" s="39"/>
      <c r="AI325" s="39"/>
      <c r="AJ325" s="39"/>
      <c r="AK325" s="39"/>
      <c r="AL325" s="39"/>
      <c r="AM325" s="39"/>
      <c r="AN325" s="39"/>
      <c r="AO325" s="39"/>
      <c r="AP325" s="39"/>
      <c r="AQ325" s="39"/>
      <c r="AR325" s="39"/>
      <c r="AS325" s="39"/>
      <c r="AT325" s="39"/>
      <c r="AU325" s="39"/>
      <c r="AV325" s="39"/>
      <c r="AW325" s="39"/>
    </row>
    <row r="326" spans="1:49" s="48" customFormat="1" ht="12.75" customHeight="1" x14ac:dyDescent="0.25">
      <c r="A326" s="33" t="s">
        <v>48</v>
      </c>
      <c r="B326" s="51" t="s">
        <v>934</v>
      </c>
      <c r="C326" s="35" t="s">
        <v>935</v>
      </c>
      <c r="D326" s="104" t="s">
        <v>936</v>
      </c>
      <c r="E326" s="37" t="s">
        <v>54</v>
      </c>
      <c r="F326" s="38" t="s">
        <v>55</v>
      </c>
      <c r="G326" s="84"/>
      <c r="H326" s="96" t="s">
        <v>56</v>
      </c>
      <c r="I326" s="114"/>
      <c r="J326" s="39">
        <v>40</v>
      </c>
      <c r="K326" s="42">
        <v>140.10846774193547</v>
      </c>
      <c r="L326" s="114">
        <v>5604.3387096774186</v>
      </c>
      <c r="M326" s="115"/>
      <c r="N326" s="39"/>
      <c r="O326" s="39"/>
      <c r="P326" s="114">
        <v>0</v>
      </c>
      <c r="Q326" s="116"/>
      <c r="S326" s="39"/>
      <c r="T326" s="39"/>
      <c r="U326" s="39"/>
      <c r="V326" s="39"/>
      <c r="W326" s="39"/>
      <c r="X326" s="39"/>
      <c r="Y326" s="39"/>
      <c r="Z326" s="39"/>
      <c r="AA326" s="39"/>
      <c r="AB326" s="39"/>
      <c r="AC326" s="39"/>
      <c r="AD326" s="39"/>
      <c r="AE326" s="39"/>
      <c r="AF326" s="39"/>
      <c r="AG326" s="39"/>
      <c r="AH326" s="39"/>
      <c r="AI326" s="39"/>
      <c r="AJ326" s="39"/>
      <c r="AK326" s="39"/>
      <c r="AL326" s="39"/>
      <c r="AM326" s="39"/>
      <c r="AN326" s="39"/>
      <c r="AO326" s="39"/>
      <c r="AP326" s="39"/>
      <c r="AQ326" s="39"/>
      <c r="AR326" s="39"/>
      <c r="AS326" s="39"/>
      <c r="AT326" s="39"/>
      <c r="AU326" s="39"/>
      <c r="AV326" s="39"/>
      <c r="AW326" s="39"/>
    </row>
    <row r="327" spans="1:49" s="48" customFormat="1" ht="12.75" customHeight="1" x14ac:dyDescent="0.25">
      <c r="A327" s="33" t="s">
        <v>48</v>
      </c>
      <c r="B327" s="51" t="s">
        <v>937</v>
      </c>
      <c r="C327" s="35" t="s">
        <v>938</v>
      </c>
      <c r="D327" s="104" t="s">
        <v>939</v>
      </c>
      <c r="E327" s="37" t="s">
        <v>54</v>
      </c>
      <c r="F327" s="38" t="s">
        <v>55</v>
      </c>
      <c r="G327" s="84"/>
      <c r="H327" s="96" t="s">
        <v>56</v>
      </c>
      <c r="I327" s="114"/>
      <c r="J327" s="39">
        <v>20</v>
      </c>
      <c r="K327" s="42">
        <v>140.10846774193547</v>
      </c>
      <c r="L327" s="114">
        <v>2802.1693548387093</v>
      </c>
      <c r="M327" s="115"/>
      <c r="N327" s="39"/>
      <c r="O327" s="39"/>
      <c r="P327" s="114">
        <v>0</v>
      </c>
      <c r="Q327" s="116"/>
      <c r="S327" s="39"/>
      <c r="T327" s="39"/>
      <c r="U327" s="39"/>
      <c r="V327" s="39"/>
      <c r="W327" s="39"/>
      <c r="X327" s="39"/>
      <c r="Y327" s="39"/>
      <c r="Z327" s="39"/>
      <c r="AA327" s="39"/>
      <c r="AB327" s="39"/>
      <c r="AC327" s="39"/>
      <c r="AD327" s="39"/>
      <c r="AE327" s="39"/>
      <c r="AF327" s="39"/>
      <c r="AG327" s="39"/>
      <c r="AH327" s="39"/>
      <c r="AI327" s="39"/>
      <c r="AJ327" s="39"/>
      <c r="AK327" s="39"/>
      <c r="AL327" s="39"/>
      <c r="AM327" s="39"/>
      <c r="AN327" s="39"/>
      <c r="AO327" s="39"/>
      <c r="AP327" s="39"/>
      <c r="AQ327" s="39"/>
      <c r="AR327" s="39"/>
      <c r="AS327" s="39"/>
      <c r="AT327" s="39"/>
      <c r="AU327" s="39"/>
      <c r="AV327" s="39"/>
      <c r="AW327" s="39"/>
    </row>
    <row r="328" spans="1:49" s="48" customFormat="1" ht="12.75" customHeight="1" x14ac:dyDescent="0.25">
      <c r="A328" s="33" t="s">
        <v>48</v>
      </c>
      <c r="B328" s="51"/>
      <c r="C328" s="35" t="s">
        <v>940</v>
      </c>
      <c r="D328" s="102" t="s">
        <v>941</v>
      </c>
      <c r="E328" s="37" t="s">
        <v>54</v>
      </c>
      <c r="F328" s="38" t="s">
        <v>399</v>
      </c>
      <c r="G328" s="84"/>
      <c r="H328" s="40" t="s">
        <v>56</v>
      </c>
      <c r="I328" s="42"/>
      <c r="J328" s="39"/>
      <c r="K328" s="42"/>
      <c r="L328" s="42">
        <v>0</v>
      </c>
      <c r="M328" s="50"/>
      <c r="N328" s="39"/>
      <c r="O328" s="39"/>
      <c r="P328" s="42">
        <v>0</v>
      </c>
      <c r="Q328" s="52"/>
      <c r="S328" s="39"/>
      <c r="T328" s="39"/>
      <c r="U328" s="39"/>
      <c r="V328" s="39"/>
      <c r="W328" s="39"/>
      <c r="X328" s="39"/>
      <c r="Y328" s="39"/>
      <c r="Z328" s="39"/>
      <c r="AA328" s="39"/>
      <c r="AB328" s="39"/>
      <c r="AC328" s="39"/>
      <c r="AD328" s="39"/>
      <c r="AE328" s="39"/>
      <c r="AF328" s="39"/>
      <c r="AG328" s="39"/>
      <c r="AH328" s="39"/>
      <c r="AI328" s="39"/>
      <c r="AJ328" s="39"/>
      <c r="AK328" s="39"/>
      <c r="AL328" s="39"/>
      <c r="AM328" s="39"/>
      <c r="AN328" s="39"/>
      <c r="AO328" s="39"/>
      <c r="AP328" s="39"/>
      <c r="AQ328" s="39"/>
      <c r="AR328" s="39"/>
      <c r="AS328" s="39"/>
      <c r="AT328" s="39"/>
      <c r="AU328" s="39"/>
      <c r="AV328" s="39"/>
      <c r="AW328" s="39"/>
    </row>
    <row r="329" spans="1:49" s="48" customFormat="1" ht="12.75" customHeight="1" x14ac:dyDescent="0.25">
      <c r="A329" s="33" t="s">
        <v>48</v>
      </c>
      <c r="B329" s="51" t="s">
        <v>942</v>
      </c>
      <c r="C329" s="35" t="s">
        <v>943</v>
      </c>
      <c r="D329" s="102" t="s">
        <v>944</v>
      </c>
      <c r="E329" s="37" t="s">
        <v>54</v>
      </c>
      <c r="F329" s="38" t="s">
        <v>55</v>
      </c>
      <c r="G329" s="84"/>
      <c r="H329" s="40" t="s">
        <v>56</v>
      </c>
      <c r="I329" s="42"/>
      <c r="J329" s="39">
        <v>40</v>
      </c>
      <c r="K329" s="42">
        <v>140.10846774193547</v>
      </c>
      <c r="L329" s="42">
        <v>5604.3387096774186</v>
      </c>
      <c r="M329" s="50"/>
      <c r="N329" s="39"/>
      <c r="O329" s="39"/>
      <c r="P329" s="42">
        <v>0</v>
      </c>
      <c r="Q329" s="52"/>
      <c r="S329" s="39"/>
      <c r="T329" s="39"/>
      <c r="U329" s="39"/>
      <c r="V329" s="39"/>
      <c r="W329" s="39"/>
      <c r="X329" s="39"/>
      <c r="Y329" s="39"/>
      <c r="Z329" s="39"/>
      <c r="AA329" s="39"/>
      <c r="AB329" s="39"/>
      <c r="AC329" s="39"/>
      <c r="AD329" s="39"/>
      <c r="AE329" s="39"/>
      <c r="AF329" s="39"/>
      <c r="AG329" s="39"/>
      <c r="AH329" s="39"/>
      <c r="AI329" s="39"/>
      <c r="AJ329" s="39"/>
      <c r="AK329" s="39"/>
      <c r="AL329" s="39"/>
      <c r="AM329" s="39"/>
      <c r="AN329" s="39"/>
      <c r="AO329" s="39"/>
      <c r="AP329" s="39"/>
      <c r="AQ329" s="39"/>
      <c r="AR329" s="39"/>
      <c r="AS329" s="39"/>
      <c r="AT329" s="39"/>
      <c r="AU329" s="39"/>
      <c r="AV329" s="39"/>
      <c r="AW329" s="39"/>
    </row>
    <row r="330" spans="1:49" s="48" customFormat="1" ht="12.75" customHeight="1" x14ac:dyDescent="0.25">
      <c r="A330" s="33" t="s">
        <v>48</v>
      </c>
      <c r="B330" s="51"/>
      <c r="C330" s="35" t="s">
        <v>945</v>
      </c>
      <c r="D330" s="102" t="s">
        <v>946</v>
      </c>
      <c r="E330" s="37" t="s">
        <v>54</v>
      </c>
      <c r="F330" s="38" t="s">
        <v>399</v>
      </c>
      <c r="G330" s="84"/>
      <c r="H330" s="40" t="s">
        <v>56</v>
      </c>
      <c r="I330" s="42"/>
      <c r="J330" s="39"/>
      <c r="K330" s="42"/>
      <c r="L330" s="42">
        <v>0</v>
      </c>
      <c r="M330" s="50"/>
      <c r="N330" s="39"/>
      <c r="O330" s="39"/>
      <c r="P330" s="42">
        <v>0</v>
      </c>
      <c r="Q330" s="52"/>
      <c r="S330" s="39"/>
      <c r="T330" s="39"/>
      <c r="U330" s="39"/>
      <c r="V330" s="39"/>
      <c r="W330" s="39"/>
      <c r="X330" s="39"/>
      <c r="Y330" s="39"/>
      <c r="Z330" s="39"/>
      <c r="AA330" s="39"/>
      <c r="AB330" s="39"/>
      <c r="AC330" s="39"/>
      <c r="AD330" s="39"/>
      <c r="AE330" s="39"/>
      <c r="AF330" s="39"/>
      <c r="AG330" s="39"/>
      <c r="AH330" s="39"/>
      <c r="AI330" s="39"/>
      <c r="AJ330" s="39"/>
      <c r="AK330" s="39"/>
      <c r="AL330" s="39"/>
      <c r="AM330" s="39"/>
      <c r="AN330" s="39"/>
      <c r="AO330" s="39"/>
      <c r="AP330" s="39"/>
      <c r="AQ330" s="39"/>
      <c r="AR330" s="39"/>
      <c r="AS330" s="39"/>
      <c r="AT330" s="39"/>
      <c r="AU330" s="39"/>
      <c r="AV330" s="39"/>
      <c r="AW330" s="39"/>
    </row>
    <row r="331" spans="1:49" s="48" customFormat="1" ht="12.75" customHeight="1" x14ac:dyDescent="0.25">
      <c r="A331" s="33" t="s">
        <v>48</v>
      </c>
      <c r="B331" s="51" t="s">
        <v>947</v>
      </c>
      <c r="C331" s="35" t="s">
        <v>948</v>
      </c>
      <c r="D331" s="102" t="s">
        <v>949</v>
      </c>
      <c r="E331" s="37" t="s">
        <v>54</v>
      </c>
      <c r="F331" s="38" t="s">
        <v>55</v>
      </c>
      <c r="G331" s="84"/>
      <c r="H331" s="40" t="s">
        <v>56</v>
      </c>
      <c r="I331" s="42"/>
      <c r="J331" s="39">
        <v>20</v>
      </c>
      <c r="K331" s="42">
        <v>140.10846774193547</v>
      </c>
      <c r="L331" s="42">
        <v>2802.1693548387093</v>
      </c>
      <c r="M331" s="50"/>
      <c r="N331" s="39"/>
      <c r="O331" s="39"/>
      <c r="P331" s="42">
        <v>0</v>
      </c>
      <c r="Q331" s="52"/>
      <c r="S331" s="39"/>
      <c r="T331" s="39"/>
      <c r="U331" s="39"/>
      <c r="V331" s="39"/>
      <c r="W331" s="39"/>
      <c r="X331" s="39"/>
      <c r="Y331" s="39"/>
      <c r="Z331" s="39"/>
      <c r="AA331" s="39"/>
      <c r="AB331" s="39"/>
      <c r="AC331" s="39"/>
      <c r="AD331" s="39"/>
      <c r="AE331" s="39"/>
      <c r="AF331" s="39"/>
      <c r="AG331" s="39"/>
      <c r="AH331" s="39"/>
      <c r="AI331" s="39"/>
      <c r="AJ331" s="39"/>
      <c r="AK331" s="39"/>
      <c r="AL331" s="39"/>
      <c r="AM331" s="39"/>
      <c r="AN331" s="39"/>
      <c r="AO331" s="39"/>
      <c r="AP331" s="39"/>
      <c r="AQ331" s="39"/>
      <c r="AR331" s="39"/>
      <c r="AS331" s="39"/>
      <c r="AT331" s="39"/>
      <c r="AU331" s="39"/>
      <c r="AV331" s="39"/>
      <c r="AW331" s="39"/>
    </row>
    <row r="332" spans="1:49" s="48" customFormat="1" ht="12.75" customHeight="1" x14ac:dyDescent="0.25">
      <c r="A332" s="33" t="s">
        <v>48</v>
      </c>
      <c r="B332" s="51" t="s">
        <v>950</v>
      </c>
      <c r="C332" s="35" t="s">
        <v>951</v>
      </c>
      <c r="D332" s="102" t="s">
        <v>952</v>
      </c>
      <c r="E332" s="37" t="s">
        <v>54</v>
      </c>
      <c r="F332" s="38" t="s">
        <v>55</v>
      </c>
      <c r="G332" s="84"/>
      <c r="H332" s="40" t="s">
        <v>56</v>
      </c>
      <c r="I332" s="42"/>
      <c r="J332" s="39">
        <v>10</v>
      </c>
      <c r="K332" s="42">
        <v>140.10846774193547</v>
      </c>
      <c r="L332" s="42">
        <v>1401.0846774193546</v>
      </c>
      <c r="M332" s="50"/>
      <c r="N332" s="39"/>
      <c r="O332" s="39"/>
      <c r="P332" s="42">
        <v>0</v>
      </c>
      <c r="Q332" s="52"/>
      <c r="S332" s="39"/>
      <c r="T332" s="39"/>
      <c r="U332" s="39"/>
      <c r="V332" s="39"/>
      <c r="W332" s="39"/>
      <c r="X332" s="39"/>
      <c r="Y332" s="39"/>
      <c r="Z332" s="39"/>
      <c r="AA332" s="39"/>
      <c r="AB332" s="39"/>
      <c r="AC332" s="39"/>
      <c r="AD332" s="39"/>
      <c r="AE332" s="39"/>
      <c r="AF332" s="39"/>
      <c r="AG332" s="39"/>
      <c r="AH332" s="39"/>
      <c r="AI332" s="39"/>
      <c r="AJ332" s="39"/>
      <c r="AK332" s="39"/>
      <c r="AL332" s="39"/>
      <c r="AM332" s="39"/>
      <c r="AN332" s="39"/>
      <c r="AO332" s="39"/>
      <c r="AP332" s="39"/>
      <c r="AQ332" s="39"/>
      <c r="AR332" s="39"/>
      <c r="AS332" s="39"/>
      <c r="AT332" s="39"/>
      <c r="AU332" s="39"/>
      <c r="AV332" s="39"/>
      <c r="AW332" s="39"/>
    </row>
    <row r="333" spans="1:49" s="48" customFormat="1" ht="12.75" customHeight="1" x14ac:dyDescent="0.25">
      <c r="A333" s="33" t="s">
        <v>48</v>
      </c>
      <c r="B333" s="51" t="s">
        <v>953</v>
      </c>
      <c r="C333" s="35" t="s">
        <v>954</v>
      </c>
      <c r="D333" s="102" t="s">
        <v>955</v>
      </c>
      <c r="E333" s="37" t="s">
        <v>54</v>
      </c>
      <c r="F333" s="38" t="s">
        <v>55</v>
      </c>
      <c r="G333" s="84"/>
      <c r="H333" s="40" t="s">
        <v>56</v>
      </c>
      <c r="I333" s="42"/>
      <c r="J333" s="39">
        <v>40</v>
      </c>
      <c r="K333" s="42">
        <v>140.10846774193547</v>
      </c>
      <c r="L333" s="42">
        <v>5604.3387096774186</v>
      </c>
      <c r="M333" s="50"/>
      <c r="N333" s="39"/>
      <c r="O333" s="39"/>
      <c r="P333" s="42">
        <v>0</v>
      </c>
      <c r="Q333" s="52"/>
      <c r="S333" s="39"/>
      <c r="T333" s="39"/>
      <c r="U333" s="39"/>
      <c r="V333" s="39"/>
      <c r="W333" s="39"/>
      <c r="X333" s="39"/>
      <c r="Y333" s="39"/>
      <c r="Z333" s="39"/>
      <c r="AA333" s="39"/>
      <c r="AB333" s="39"/>
      <c r="AC333" s="39"/>
      <c r="AD333" s="39"/>
      <c r="AE333" s="39"/>
      <c r="AF333" s="39"/>
      <c r="AG333" s="39"/>
      <c r="AH333" s="39"/>
      <c r="AI333" s="39"/>
      <c r="AJ333" s="39"/>
      <c r="AK333" s="39"/>
      <c r="AL333" s="39"/>
      <c r="AM333" s="39"/>
      <c r="AN333" s="39"/>
      <c r="AO333" s="39"/>
      <c r="AP333" s="39"/>
      <c r="AQ333" s="39"/>
      <c r="AR333" s="39"/>
      <c r="AS333" s="39"/>
      <c r="AT333" s="39"/>
      <c r="AU333" s="39"/>
      <c r="AV333" s="39"/>
      <c r="AW333" s="39"/>
    </row>
    <row r="334" spans="1:49" s="64" customFormat="1" ht="12.75" customHeight="1" x14ac:dyDescent="0.25">
      <c r="A334" s="65"/>
      <c r="B334" s="119"/>
      <c r="C334" s="120"/>
      <c r="D334" s="91" t="s">
        <v>956</v>
      </c>
      <c r="E334" s="121"/>
      <c r="F334" s="122"/>
      <c r="G334" s="87"/>
      <c r="H334" s="123"/>
      <c r="I334" s="42"/>
      <c r="J334" s="65"/>
      <c r="K334" s="65"/>
      <c r="L334" s="62"/>
      <c r="M334" s="88"/>
      <c r="N334" s="65"/>
      <c r="O334" s="65"/>
      <c r="P334" s="62"/>
      <c r="R334" s="48"/>
      <c r="S334" s="65"/>
      <c r="T334" s="65"/>
      <c r="U334" s="65"/>
      <c r="V334" s="65"/>
      <c r="W334" s="65"/>
      <c r="X334" s="65"/>
      <c r="Y334" s="65"/>
      <c r="Z334" s="65"/>
      <c r="AA334" s="65"/>
      <c r="AB334" s="65"/>
      <c r="AC334" s="65"/>
      <c r="AD334" s="65"/>
      <c r="AE334" s="65"/>
      <c r="AF334" s="65"/>
      <c r="AG334" s="65"/>
      <c r="AH334" s="65"/>
      <c r="AI334" s="65"/>
      <c r="AJ334" s="65"/>
      <c r="AK334" s="65"/>
      <c r="AL334" s="65"/>
      <c r="AM334" s="65"/>
      <c r="AN334" s="65"/>
      <c r="AO334" s="65"/>
      <c r="AP334" s="65"/>
      <c r="AQ334" s="65"/>
      <c r="AR334" s="65"/>
      <c r="AS334" s="65"/>
      <c r="AT334" s="65"/>
      <c r="AU334" s="65"/>
      <c r="AV334" s="65"/>
      <c r="AW334" s="65"/>
    </row>
    <row r="335" spans="1:49" s="135" customFormat="1" ht="12.75" customHeight="1" x14ac:dyDescent="0.25">
      <c r="A335" s="124"/>
      <c r="B335" s="125"/>
      <c r="C335" s="126"/>
      <c r="D335" s="91"/>
      <c r="E335" s="127"/>
      <c r="F335" s="128"/>
      <c r="G335" s="129"/>
      <c r="H335" s="91" t="s">
        <v>957</v>
      </c>
      <c r="I335" s="130"/>
      <c r="J335" s="131">
        <v>5952</v>
      </c>
      <c r="K335" s="132">
        <v>140.10846774193564</v>
      </c>
      <c r="L335" s="133">
        <f>SUM(L319:L333,L308:L317,L304:L306,L298:L302,L285:L296,L282:L283,L256:L280,L253:L254,L249:L251,L235:L247,L220:L233,L214:L218,L211:L212,L208:L209,L206,L197:L204,L178:L195,L170:L176,L159:L168,L152:L157,L150,L135:L148,L131:L133,L127:L129,L123:L125,L119:L121,L115:L117,L109:L113,L105:L107,L103,L94:L101,L86:L92,L78:L84,L70:L76,L62:L68,L55:L60,L48:L53,L41:L46,L34:L39,L26:L32,L24,L4:L22)</f>
        <v>833925.60000000079</v>
      </c>
      <c r="M335" s="134"/>
      <c r="N335" s="131">
        <v>0</v>
      </c>
      <c r="O335" s="131" t="e">
        <v>#DIV/0!</v>
      </c>
      <c r="P335" s="133">
        <v>0</v>
      </c>
      <c r="Q335" s="135">
        <v>0</v>
      </c>
      <c r="R335" s="136"/>
      <c r="S335" s="131"/>
      <c r="T335" s="131"/>
      <c r="U335" s="131"/>
      <c r="V335" s="131"/>
      <c r="W335" s="131"/>
      <c r="X335" s="131"/>
      <c r="Y335" s="131"/>
      <c r="Z335" s="131"/>
      <c r="AA335" s="131"/>
      <c r="AB335" s="131"/>
      <c r="AC335" s="131"/>
      <c r="AD335" s="131"/>
      <c r="AE335" s="131"/>
      <c r="AF335" s="131"/>
      <c r="AG335" s="131"/>
      <c r="AH335" s="131"/>
      <c r="AI335" s="131"/>
      <c r="AJ335" s="131"/>
      <c r="AK335" s="131"/>
      <c r="AL335" s="131"/>
      <c r="AM335" s="131"/>
      <c r="AN335" s="131"/>
      <c r="AO335" s="131"/>
      <c r="AP335" s="131"/>
      <c r="AQ335" s="137">
        <v>0</v>
      </c>
      <c r="AR335" s="132">
        <v>0</v>
      </c>
      <c r="AS335" s="132">
        <v>0</v>
      </c>
      <c r="AT335" s="131"/>
      <c r="AU335" s="131"/>
      <c r="AV335" s="131"/>
      <c r="AW335" s="132">
        <v>0</v>
      </c>
    </row>
  </sheetData>
  <autoFilter ref="A1:AW335" xr:uid="{29D4A13A-BD67-4012-94BF-EE3CD09AAA6D}">
    <filterColumn colId="13" showButton="0"/>
    <filterColumn colId="14" showButton="0"/>
    <filterColumn colId="15"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autoFilter>
  <mergeCells count="2">
    <mergeCell ref="N1:Q1"/>
    <mergeCell ref="S1:AU1"/>
  </mergeCells>
  <conditionalFormatting sqref="B1:B2 B4:B22 B24 B26:B32 B34:B39 B41:B46 B48:B53 B55:B60 B62:B68 B70:B76 B78:B84 B86:B92 B94:B101 B103 B105:B107 B109:B113 B115:B117 B119:B121 B123:B125 B127:B129 B131:B133 B135:B148 B150 B152:B157 B159:B168 B170:B176 B178:B195 B197:B204 B206 B208:B209 B211:B212 B214:B218 B220:B233 B235:B247 B249:B251 B253:B254 B256:B280 B282:B283 B285:B296 B298:B302 B304:B306 B308:B317 B319:B1048576">
    <cfRule type="duplicateValues" dxfId="17" priority="3"/>
    <cfRule type="duplicateValues" dxfId="16" priority="4"/>
  </conditionalFormatting>
  <conditionalFormatting sqref="B97">
    <cfRule type="duplicateValues" dxfId="15" priority="17"/>
  </conditionalFormatting>
  <conditionalFormatting sqref="B103">
    <cfRule type="duplicateValues" dxfId="14" priority="16"/>
  </conditionalFormatting>
  <conditionalFormatting sqref="B110">
    <cfRule type="duplicateValues" dxfId="13" priority="15"/>
  </conditionalFormatting>
  <conditionalFormatting sqref="B111">
    <cfRule type="duplicateValues" dxfId="12" priority="14"/>
  </conditionalFormatting>
  <conditionalFormatting sqref="B113">
    <cfRule type="duplicateValues" dxfId="11" priority="13"/>
  </conditionalFormatting>
  <conditionalFormatting sqref="B132">
    <cfRule type="duplicateValues" dxfId="10" priority="12"/>
  </conditionalFormatting>
  <conditionalFormatting sqref="B164">
    <cfRule type="duplicateValues" dxfId="9" priority="11"/>
  </conditionalFormatting>
  <conditionalFormatting sqref="B179">
    <cfRule type="duplicateValues" dxfId="8" priority="10"/>
  </conditionalFormatting>
  <conditionalFormatting sqref="B180">
    <cfRule type="duplicateValues" dxfId="7" priority="9"/>
  </conditionalFormatting>
  <conditionalFormatting sqref="B182">
    <cfRule type="duplicateValues" dxfId="6" priority="8"/>
  </conditionalFormatting>
  <conditionalFormatting sqref="B185">
    <cfRule type="duplicateValues" dxfId="5" priority="7"/>
  </conditionalFormatting>
  <conditionalFormatting sqref="B240">
    <cfRule type="duplicateValues" dxfId="4" priority="6"/>
  </conditionalFormatting>
  <conditionalFormatting sqref="B312">
    <cfRule type="duplicateValues" dxfId="3" priority="5"/>
  </conditionalFormatting>
  <conditionalFormatting sqref="B313:B317 B1:B2 B98:B101 B105:B107 B112 B115:B117 B133 B165:B168 B181 B183:B184 B186:B195 B241:B247 B4:B22 B24 B26:B32 B34:B39 B41:B46 B48:B53 B55:B60 B62:B68 B70:B76 B78:B84 B86:B92 B94:B96 B109 B119:B121 B123:B125 B127:B129 B131 B135:B148 B150 B152:B157 B159:B163 B170:B176 B178 B197:B204 B206 B208:B209 B211:B212 B214:B218 B220:B233 B235:B239 B249:B251 B253:B254 B256:B280 B282:B283 B285:B296 B298:B302 B304:B306 B308:B311 B319:B1048576">
    <cfRule type="duplicateValues" dxfId="2" priority="18"/>
  </conditionalFormatting>
  <conditionalFormatting sqref="C1:C1048576">
    <cfRule type="duplicateValues" dxfId="1" priority="1"/>
    <cfRule type="duplicateValues" dxfId="0" priority="2"/>
  </conditionalFormatting>
  <dataValidations disablePrompts="1" count="1">
    <dataValidation type="list" allowBlank="1" showInputMessage="1" showErrorMessage="1" sqref="AV3:AV334" xr:uid="{06B7DA3B-98BE-4281-B124-C3176F30FF57}">
      <formula1>"Yes,No"</formula1>
    </dataValidation>
  </dataValidations>
  <pageMargins left="0.70866141732283472" right="0.70866141732283472" top="0.74803149606299213" bottom="0.74803149606299213" header="0.31496062992125984" footer="0.31496062992125984"/>
  <pageSetup paperSize="9" scale="35" fitToHeight="12" orientation="portrait" r:id="rId1"/>
  <headerFooter>
    <oddFooter>&amp;L&amp;B Confidential&amp;B&amp;C&amp;D&amp;RPage &amp;P</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Skilled Labour</vt:lpstr>
      <vt:lpstr>'Skilled Labour'!Print_Area</vt:lpstr>
      <vt:lpstr>'Skilled Labour'!Print_Titles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Dominguez, Manny</dc:creator>
  <cp:lastModifiedBy>Mackechnie, Kyle</cp:lastModifiedBy>
  <dcterms:created xsi:type="dcterms:W3CDTF">2026-04-28T23:01:54Z</dcterms:created>
  <dcterms:modified xsi:type="dcterms:W3CDTF">2026-04-29T02:00:48Z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791f77-3d39-4d72-9277-ac879ec799ed_Enabled">
    <vt:lpwstr>true</vt:lpwstr>
  </property>
  <property fmtid="{D5CDD505-2E9C-101B-9397-08002B2CF9AE}" pid="3" name="MSIP_Label_36791f77-3d39-4d72-9277-ac879ec799ed_SetDate">
    <vt:lpwstr>2026-04-28T23:02:35Z</vt:lpwstr>
  </property>
  <property fmtid="{D5CDD505-2E9C-101B-9397-08002B2CF9AE}" pid="4" name="MSIP_Label_36791f77-3d39-4d72-9277-ac879ec799ed_Method">
    <vt:lpwstr>Standard</vt:lpwstr>
  </property>
  <property fmtid="{D5CDD505-2E9C-101B-9397-08002B2CF9AE}" pid="5" name="MSIP_Label_36791f77-3d39-4d72-9277-ac879ec799ed_Name">
    <vt:lpwstr>restricted-default</vt:lpwstr>
  </property>
  <property fmtid="{D5CDD505-2E9C-101B-9397-08002B2CF9AE}" pid="6" name="MSIP_Label_36791f77-3d39-4d72-9277-ac879ec799ed_SiteId">
    <vt:lpwstr>254ba93e-1f6f-48f3-90e6-e2766664b477</vt:lpwstr>
  </property>
  <property fmtid="{D5CDD505-2E9C-101B-9397-08002B2CF9AE}" pid="7" name="MSIP_Label_36791f77-3d39-4d72-9277-ac879ec799ed_ActionId">
    <vt:lpwstr>066d849d-d272-4db3-bccb-090dd1aa7d64</vt:lpwstr>
  </property>
  <property fmtid="{D5CDD505-2E9C-101B-9397-08002B2CF9AE}" pid="8" name="MSIP_Label_36791f77-3d39-4d72-9277-ac879ec799ed_ContentBits">
    <vt:lpwstr>0</vt:lpwstr>
  </property>
  <property fmtid="{D5CDD505-2E9C-101B-9397-08002B2CF9AE}" pid="9" name="MSIP_Label_36791f77-3d39-4d72-9277-ac879ec799ed_Tag">
    <vt:lpwstr>10, 3, 0, 1</vt:lpwstr>
  </property>
</Properties>
</file>